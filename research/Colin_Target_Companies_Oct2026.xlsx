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inal Fi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argets" sheetId="3" state="visible" r:id="rId3"/>
    <sheet xmlns:r="http://schemas.openxmlformats.org/officeDocument/2006/relationships" name="Screened Out" sheetId="4" state="visible" r:id="rId4"/>
    <sheet xmlns:r="http://schemas.openxmlformats.org/officeDocument/2006/relationships" name="Run 2 Rejected" sheetId="5" state="visible" r:id="rId5"/>
  </sheets>
  <definedNames>
    <definedName name="_xlnm._FilterDatabase" localSheetId="2" hidden="1">'Targets'!$A$1:$N$41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b val="1"/>
      <color rgb="00FFFFFF"/>
      <sz val="10"/>
    </font>
    <font>
      <name val="Arial"/>
      <sz val="10"/>
    </font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bottom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0" pivotButton="0" quotePrefix="0" xfId="0"/>
    <xf numFmtId="0" fontId="9" fillId="11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bottom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9" fillId="11" borderId="0" pivotButton="0" quotePrefix="0" xfId="0"/>
    <xf numFmtId="0" fontId="1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2" customWidth="1" style="25" min="1" max="1"/>
    <col width="20" customWidth="1" style="25" min="2" max="2"/>
    <col width="18" customWidth="1" style="25" min="3" max="3"/>
    <col width="16" customWidth="1" style="25" min="4" max="4"/>
    <col width="26" customWidth="1" style="25" min="5" max="5"/>
    <col width="44" customWidth="1" style="25" min="6" max="6"/>
    <col width="44" customWidth="1" style="25" min="7" max="7"/>
    <col width="38" customWidth="1" style="25" min="8" max="8"/>
    <col width="60" customWidth="1" style="25" min="9" max="9"/>
  </cols>
  <sheetData>
    <row r="1">
      <c r="A1" s="26" t="inlineStr">
        <is>
          <t>Company</t>
        </is>
      </c>
      <c r="B1" s="26" t="inlineStr">
        <is>
          <t>Status</t>
        </is>
      </c>
      <c r="C1" s="26" t="inlineStr">
        <is>
          <t>HQ</t>
        </is>
      </c>
      <c r="D1" s="26" t="inlineStr">
        <is>
          <t>Employees</t>
        </is>
      </c>
      <c r="E1" s="26" t="inlineStr">
        <is>
          <t>CEO</t>
        </is>
      </c>
      <c r="F1" s="26" t="inlineStr">
        <is>
          <t>What they do</t>
        </is>
      </c>
      <c r="G1" s="26" t="inlineStr">
        <is>
          <t>Sales/BD people found</t>
        </is>
      </c>
      <c r="H1" s="26" t="inlineStr">
        <is>
          <t>Check before outreach</t>
        </is>
      </c>
      <c r="I1" s="26" t="inlineStr">
        <is>
          <t>Evidence</t>
        </is>
      </c>
    </row>
    <row r="2">
      <c r="A2" s="27" t="inlineStr">
        <is>
          <t>Senra Systems</t>
        </is>
      </c>
      <c r="B2" s="27" t="inlineStr">
        <is>
          <t>PASS</t>
        </is>
      </c>
      <c r="C2" s="27" t="inlineStr">
        <is>
          <t>Cypress, CA</t>
        </is>
      </c>
      <c r="D2" s="27" t="inlineStr">
        <is>
          <t>65+</t>
        </is>
      </c>
      <c r="E2" s="27" t="inlineStr">
        <is>
          <t>Jordan Black (co-founder/CEO)</t>
        </is>
      </c>
      <c r="F2" s="27" t="inlineStr">
        <is>
          <t>Software-driven wire-harness manufacturing; $65M Series B Jul 2026</t>
        </is>
      </c>
      <c r="G2" s="27" t="inlineStr">
        <is>
          <t>None surfaced on LinkedIn or press</t>
        </is>
      </c>
      <c r="H2" s="27" t="inlineStr">
        <is>
          <t>-</t>
        </is>
      </c>
      <c r="I2" s="27" t="inlineStr">
        <is>
          <t>https://pulse2.com/senra-systems-announces-65-million-series-b-and-plans-for-third-manufacturing-facility/ ; https://www.linkedin.com/company/senra-systems</t>
        </is>
      </c>
    </row>
    <row r="3">
      <c r="A3" s="27" t="inlineStr">
        <is>
          <t>GrayMatter Robotics</t>
        </is>
      </c>
      <c r="B3" s="27" t="inlineStr">
        <is>
          <t>PASS - confirm 1 item</t>
        </is>
      </c>
      <c r="C3" s="27" t="inlineStr">
        <is>
          <t>Los Angeles area, CA</t>
        </is>
      </c>
      <c r="D3" s="27" t="inlineStr">
        <is>
          <t>75-124</t>
        </is>
      </c>
      <c r="E3" s="27" t="inlineStr">
        <is>
          <t>Ariyan Kabir</t>
        </is>
      </c>
      <c r="F3" s="27" t="inlineStr">
        <is>
          <t>AI robotic cells for high-mix manufacturing (sanding, polishing, spraying); $71M raised</t>
        </is>
      </c>
      <c r="G3" s="27" t="inlineStr">
        <is>
          <t>IC only: Joe Dyer (Account Manager), Matt Cohen (BD, ex-SDR), Rand Owens (growth marketer)</t>
        </is>
      </c>
      <c r="H3" s="27" t="inlineStr">
        <is>
          <t>Confirm Rand Owens' title is not Head of Growth</t>
        </is>
      </c>
      <c r="I3" s="27" t="inlineStr">
        <is>
          <t>https://www.linkedin.com/in/randowens/ ; https://www.linkedin.com/in/joedyerreal/</t>
        </is>
      </c>
    </row>
    <row r="4">
      <c r="A4" s="27" t="inlineStr">
        <is>
          <t>Multiply Labs</t>
        </is>
      </c>
      <c r="B4" s="27" t="inlineStr">
        <is>
          <t>LIKELY - verify</t>
        </is>
      </c>
      <c r="C4" s="27" t="inlineStr">
        <is>
          <t>San Francisco, CA</t>
        </is>
      </c>
      <c r="D4" s="27" t="inlineStr">
        <is>
          <t>~79 (ZoomInfo/LeadIQ)</t>
        </is>
      </c>
      <c r="E4" s="27" t="inlineStr">
        <is>
          <t>Fred Parietti (co-founder/CEO)</t>
        </is>
      </c>
      <c r="F4" s="27" t="inlineStr">
        <is>
          <t>Robotic GMP manufacturing for cell &amp; gene therapy; $40M+ raised + $85M Retro Bio partnership</t>
        </is>
      </c>
      <c r="G4" s="27" t="inlineStr">
        <is>
          <t>~2 commercial ICs; Raquel Ibanez 'Director, Strategic Alliance'; hiring first Senior Strategic Account Manager</t>
        </is>
      </c>
      <c r="H4" s="27" t="inlineStr">
        <is>
          <t>Confirm Raquel Ibanez's title is not BD director; confirm sales headcount &lt;=2</t>
        </is>
      </c>
      <c r="I4" s="27" t="inlineStr">
        <is>
          <t>https://theorg.com/org/multiply-labs/org-chart/fred-parietti ; https://leadiq.com/c/multiply-labs/5a1dac842300005200a1cfa8/employee-directory ; https://jobs.luxcapital.com/companies/multiply-labs/jobs/62817164-senior-strategic-account-manager-cell-therapy</t>
        </is>
      </c>
    </row>
    <row r="5">
      <c r="A5" s="27" t="inlineStr">
        <is>
          <t>Phaidra</t>
        </is>
      </c>
      <c r="B5" s="27" t="inlineStr">
        <is>
          <t>CONDITIONAL</t>
        </is>
      </c>
      <c r="C5" s="27" t="inlineStr">
        <is>
          <t>Seattle, WA</t>
        </is>
      </c>
      <c r="D5" s="27" t="inlineStr">
        <is>
          <t>~91</t>
        </is>
      </c>
      <c r="E5" s="27" t="inlineStr">
        <is>
          <t>Jim Gao</t>
        </is>
      </c>
      <c r="F5" s="27" t="inlineStr">
        <is>
          <t>AI control agents for industrial plants and data centers; $80.5M raised</t>
        </is>
      </c>
      <c r="G5" s="27" t="inlineStr">
        <is>
          <t>No CRO/VP Sales; President/CSO Robert Locke; hiring BD Lead</t>
        </is>
      </c>
      <c r="H5" s="27" t="inlineStr">
        <is>
          <t>Check whether Robert Locke runs commercial</t>
        </is>
      </c>
      <c r="I5" s="27" t="inlineStr">
        <is>
          <t>https://www.linkedin.com/in/robertblocke/ ; https://seedtable.com/companies/phaidra</t>
        </is>
      </c>
    </row>
    <row r="6">
      <c r="A6" s="27" t="inlineStr">
        <is>
          <t>Instrumental</t>
        </is>
      </c>
      <c r="B6" s="27" t="inlineStr">
        <is>
          <t>CONDITIONAL</t>
        </is>
      </c>
      <c r="C6" s="27" t="inlineStr">
        <is>
          <t>SF Bay Area, CA</t>
        </is>
      </c>
      <c r="D6" s="27" t="inlineStr">
        <is>
          <t>75+</t>
        </is>
      </c>
      <c r="E6" s="27" t="inlineStr">
        <is>
          <t>Anna-Katrina Shedletsky</t>
        </is>
      </c>
      <c r="F6" s="27" t="inlineStr">
        <is>
          <t>AI quality platform for electronics manufacturing; $81.7M + NVentures</t>
        </is>
      </c>
      <c r="G6" s="27" t="inlineStr">
        <is>
          <t>None surfaced</t>
        </is>
      </c>
      <c r="H6" s="27" t="inlineStr">
        <is>
          <t>Check LinkedIn People tab for sales titles</t>
        </is>
      </c>
      <c r="I6" s="27" t="inlineStr">
        <is>
          <t>https://www.linkedin.com/company/instrumental-inc.</t>
        </is>
      </c>
    </row>
    <row r="7">
      <c r="A7" s="27" t="inlineStr">
        <is>
          <t>Rhoda AI</t>
        </is>
      </c>
      <c r="B7" s="27" t="inlineStr">
        <is>
          <t>BORDERLINE</t>
        </is>
      </c>
      <c r="C7" s="27" t="inlineStr">
        <is>
          <t>Palo Alto, CA</t>
        </is>
      </c>
      <c r="D7" s="27" t="inlineStr">
        <is>
          <t>~73-86</t>
        </is>
      </c>
      <c r="E7" s="27" t="inlineStr">
        <is>
          <t>Jagdeep Singh (co-founder; ex-QuantumScape CEO)</t>
        </is>
      </c>
      <c r="F7" s="27" t="inlineStr">
        <is>
          <t>Video-trained robot foundation model for high-variability manufacturing tasks</t>
        </is>
      </c>
      <c r="G7" s="27" t="inlineStr">
        <is>
          <t>None found; only marketing roles open</t>
        </is>
      </c>
      <c r="H7" s="27" t="inlineStr">
        <is>
          <t>Sector partly general/logistics; $450M raised - may want full-time CRO</t>
        </is>
      </c>
      <c r="I7" s="27" t="inlineStr">
        <is>
          <t>https://www.zoominfo.com/c/rhoda-ai/5000717507 ; https://www.assemblymag.com/articles/99908-new-robotic-ai-platform-targets-high-variability-manufacturing-tasks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8" min="1" max="1"/>
    <col width="10" customWidth="1" style="28" min="2" max="2"/>
  </cols>
  <sheetData>
    <row r="1" ht="17.25" customHeight="1" s="25">
      <c r="A1" s="29" t="inlineStr">
        <is>
          <t>Colin (Starmay Ventures) - Fractional CRO Target List</t>
        </is>
      </c>
    </row>
    <row r="2" ht="15" customHeight="1" s="25">
      <c r="A2" s="30" t="inlineStr">
        <is>
          <t>Prepared by Galacticbuzz, 7 Oct 2026. Research from public web sources (job boards, funding news, data aggregators).</t>
        </is>
      </c>
    </row>
    <row r="4" ht="15" customHeight="1" s="25">
      <c r="A4" s="31" t="inlineStr">
        <is>
          <t>Tier</t>
        </is>
      </c>
      <c r="B4" s="31" t="inlineStr">
        <is>
          <t>Count</t>
        </is>
      </c>
    </row>
    <row r="5" ht="15" customHeight="1" s="25">
      <c r="A5" s="32" t="inlineStr">
        <is>
          <t>Tier 1 - Strong fit</t>
        </is>
      </c>
      <c r="B5" s="33">
        <f>COUNTIF(Targets!$B:$B,A5)</f>
        <v/>
      </c>
    </row>
    <row r="6" ht="15" customHeight="1" s="25">
      <c r="A6" s="34" t="inlineStr">
        <is>
          <t>Tier 2 - Fit, verify 1 item</t>
        </is>
      </c>
      <c r="B6" s="33">
        <f>COUNTIF(Targets!$B:$B,A6)</f>
        <v/>
      </c>
    </row>
    <row r="7" ht="15" customHeight="1" s="25">
      <c r="A7" s="35" t="inlineStr">
        <is>
          <t>Tier 3 - Near-miss</t>
        </is>
      </c>
      <c r="B7" s="33">
        <f>COUNTIF(Targets!$B:$B,A7)</f>
        <v/>
      </c>
    </row>
    <row r="8" ht="15" customHeight="1" s="25">
      <c r="A8" s="36" t="inlineStr">
        <is>
          <t>Total</t>
        </is>
      </c>
      <c r="B8" s="36">
        <f>SUM(B5:B7)</f>
        <v/>
      </c>
    </row>
    <row r="9" ht="15" customHeight="1" s="25">
      <c r="A9" s="33" t="inlineStr">
        <is>
          <t>Companies screened out</t>
        </is>
      </c>
      <c r="B9" s="33">
        <f>COUNTA('Screened Out'!A:A)-1</f>
        <v/>
      </c>
    </row>
    <row r="11" ht="15" customHeight="1" s="25">
      <c r="A11" s="36" t="inlineStr">
        <is>
          <t>Criteria applied</t>
        </is>
      </c>
    </row>
    <row r="12" ht="15" customHeight="1" s="25">
      <c r="A12" s="33" t="inlineStr">
        <is>
          <t>1. No CRO, VP Sales, Head of Sales, CCO, CBO or co-founder explicitly running sales found in public sources.</t>
        </is>
      </c>
    </row>
    <row r="13" ht="15" customHeight="1" s="25">
      <c r="A13" s="33" t="inlineStr">
        <is>
          <t>2. 50+ employees (Tier 3 includes near-misses just below or above range).</t>
        </is>
      </c>
    </row>
    <row r="14" ht="15" customHeight="1" s="25">
      <c r="A14" s="33" t="inlineStr">
        <is>
          <t>3. Headcount stable or growing (shrinking companies excluded, per the Covariant lesson).</t>
        </is>
      </c>
    </row>
    <row r="15" ht="15" customHeight="1" s="25">
      <c r="A15" s="33" t="inlineStr">
        <is>
          <t>4. B2B with a sales motion Colin can build: industrial AI, robotics, manufacturing, energy, construction, logistics.</t>
        </is>
      </c>
    </row>
    <row r="16" ht="15" customHeight="1" s="25">
      <c r="A16" s="33" t="inlineStr">
        <is>
          <t>5. US-based (or US HQ).</t>
        </is>
      </c>
    </row>
    <row r="17" ht="15" customHeight="1" s="25">
      <c r="A17" s="33" t="n"/>
    </row>
    <row r="18" ht="15" customHeight="1" s="25">
      <c r="A18" s="36" t="inlineStr">
        <is>
          <t>Tier meanings</t>
        </is>
      </c>
    </row>
    <row r="19" ht="15" customHeight="1" s="25">
      <c r="A19" s="33" t="inlineStr">
        <is>
          <t>Tier 1 - Strong fit: all criteria met; several are actively recruiting a first sales leader (pitch Colin as fractional/interim while they search).</t>
        </is>
      </c>
    </row>
    <row r="20" ht="15" customHeight="1" s="25">
      <c r="A20" s="33" t="inlineStr">
        <is>
          <t>Tier 2 - Fit, verify 1 item: meets criteria but one point needs a quick LinkedIn check (see 'Verify before outreach').</t>
        </is>
      </c>
    </row>
    <row r="21" ht="15" customHeight="1" s="25">
      <c r="A21" s="33" t="inlineStr">
        <is>
          <t>Tier 3 - Near-miss: no sales leader, but outside the 50-250 headcount band or a role may have been filled.</t>
        </is>
      </c>
    </row>
    <row r="22" ht="15" customHeight="1" s="25">
      <c r="A22" s="33" t="n"/>
    </row>
    <row r="23" ht="15" customHeight="1" s="25">
      <c r="A23" s="36" t="inlineStr">
        <is>
          <t>Limitations</t>
        </is>
      </c>
    </row>
    <row r="24" ht="15" customHeight="1" s="25">
      <c r="A24" s="33" t="inlineStr">
        <is>
          <t>- LinkedIn/Sales Navigator and company team pages could not be loaded directly from this environment; checks rely on search results, job posts and press releases.</t>
        </is>
      </c>
    </row>
    <row r="25" ht="15" customHeight="1" s="25">
      <c r="A25" s="33" t="inlineStr">
        <is>
          <t>- 'No sales leader found' means none surfaced publicly - confirm on LinkedIn (People tab, filter titles: CRO, VP Sales, Head of Sales, CCO) before outreach.</t>
        </is>
      </c>
    </row>
    <row r="26" ht="15" customHeight="1" s="25">
      <c r="A26" s="33" t="inlineStr">
        <is>
          <t>- Headcounts are third-party estimates and often conflict; ranges are shown.</t>
        </is>
      </c>
    </row>
    <row r="27" ht="15" customHeight="1" s="25">
      <c r="A27" s="33" t="inlineStr">
        <is>
          <t>- Names marked '(verify)' were not confirmed in this research pass.</t>
        </is>
      </c>
    </row>
    <row r="29" ht="15" customHeight="1" s="25">
      <c r="A29" s="36" t="inlineStr">
        <is>
          <t>Strict re-check (8 Oct 2026)</t>
        </is>
      </c>
    </row>
    <row r="30" ht="15" customHeight="1" s="25">
      <c r="A30" s="33" t="inlineStr">
        <is>
          <t>Fail if: any sales/revenue/growth leader (CRO, VP Sales, Head of Sales, Head of Growth, CCO, VP BD, Sales Director); an existing sales team (AEs/BDRs/RevOps); or sector outside industrial AI/manufacturing.</t>
        </is>
      </c>
    </row>
    <row r="31" ht="15" customHeight="1" s="25">
      <c r="A31" s="33" t="inlineStr">
        <is>
          <t>Result: PASS - Senra Systems, GrayMatter Robotics | CONDITIONAL - Phaidra, Instrumental | NEAR-MISS - Invisible AI | FAIL - remaining 35. See Targets columns M-N.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28" min="1" max="2"/>
    <col width="30" customWidth="1" style="28" min="3" max="3"/>
    <col width="22" customWidth="1" style="28" min="4" max="4"/>
    <col width="20" customWidth="1" style="28" min="5" max="5"/>
    <col width="28" customWidth="1" style="28" min="6" max="6"/>
    <col width="30" customWidth="1" style="28" min="7" max="7"/>
    <col width="48" customWidth="1" style="28" min="8" max="8"/>
    <col width="44" customWidth="1" style="28" min="9" max="9"/>
    <col width="40" customWidth="1" style="28" min="10" max="10"/>
    <col width="60" customWidth="1" style="28" min="11" max="11"/>
    <col width="16" customWidth="1" style="28" min="12" max="12"/>
    <col width="22" customWidth="1" style="28" min="13" max="13"/>
    <col width="70" customWidth="1" style="28" min="14" max="14"/>
  </cols>
  <sheetData>
    <row r="1" ht="15" customHeight="1" s="25">
      <c r="A1" s="37" t="inlineStr">
        <is>
          <t>Company</t>
        </is>
      </c>
      <c r="B1" s="37" t="inlineStr">
        <is>
          <t>Tier</t>
        </is>
      </c>
      <c r="C1" s="37" t="inlineStr">
        <is>
          <t>Segment</t>
        </is>
      </c>
      <c r="D1" s="37" t="inlineStr">
        <is>
          <t>HQ</t>
        </is>
      </c>
      <c r="E1" s="37" t="inlineStr">
        <is>
          <t>Headcount (est.)</t>
        </is>
      </c>
      <c r="F1" s="37" t="inlineStr">
        <is>
          <t>Funding</t>
        </is>
      </c>
      <c r="G1" s="37" t="inlineStr">
        <is>
          <t>CEO / Founder</t>
        </is>
      </c>
      <c r="H1" s="37" t="inlineStr">
        <is>
          <t>Sales-leadership check</t>
        </is>
      </c>
      <c r="I1" s="37" t="inlineStr">
        <is>
          <t>Why now / signal</t>
        </is>
      </c>
      <c r="J1" s="37" t="inlineStr">
        <is>
          <t>Verify before outreach</t>
        </is>
      </c>
      <c r="K1" s="37" t="inlineStr">
        <is>
          <t>Sources</t>
        </is>
      </c>
      <c r="L1" s="37" t="inlineStr">
        <is>
          <t>Outreach status</t>
        </is>
      </c>
      <c r="M1" s="38" t="inlineStr">
        <is>
          <t>Strict re-check verdict</t>
        </is>
      </c>
      <c r="N1" s="38" t="inlineStr">
        <is>
          <t>Re-check reason</t>
        </is>
      </c>
    </row>
    <row r="2" ht="23.25" customHeight="1" s="25">
      <c r="A2" s="39" t="inlineStr">
        <is>
          <t>Burro</t>
        </is>
      </c>
      <c r="B2" s="40" t="inlineStr">
        <is>
          <t>Tier 1 - Strong fit</t>
        </is>
      </c>
      <c r="C2" s="41" t="inlineStr">
        <is>
          <t>Ag / logistics robotics</t>
        </is>
      </c>
      <c r="D2" s="41" t="inlineStr">
        <is>
          <t>Philadelphia, PA</t>
        </is>
      </c>
      <c r="E2" s="41" t="inlineStr">
        <is>
          <t>44-70</t>
        </is>
      </c>
      <c r="F2" s="41" t="inlineStr">
        <is>
          <t>$45M+ (Series B $24M)</t>
        </is>
      </c>
      <c r="G2" s="41" t="inlineStr">
        <is>
          <t>Charlie Andersen (verify)</t>
        </is>
      </c>
      <c r="H2" s="41" t="inlineStr">
        <is>
          <t>No CRO/VP Sales found. CRO role posted Jan 2026 ($550-600k + equity); no hire announced.</t>
        </is>
      </c>
      <c r="I2" s="41" t="inlineStr">
        <is>
          <t>Actively searching for a CRO - pitch Colin as interim/fractional CRO while the search runs.</t>
        </is>
      </c>
      <c r="J2" s="41" t="inlineStr">
        <is>
          <t>Confirm CRO req is still open.</t>
        </is>
      </c>
      <c r="K2" s="41" t="inlineStr">
        <is>
          <t>https://jobs.lever.co/Burro/036fc36f-a113-45de-a8e7-e6b3b8a90326 ; https://technical.ly/startups/robotics-philadelphia-burro-series-b-raise</t>
        </is>
      </c>
      <c r="L2" s="42" t="inlineStr">
        <is>
          <t>Not contacted</t>
        </is>
      </c>
      <c r="M2" s="43" t="inlineStr">
        <is>
          <t>FAIL</t>
        </is>
      </c>
      <c r="N2" s="41" t="inlineStr">
        <is>
          <t>Ag sector; existing AE team (NE/Midwest/TX) + running a CRO search</t>
        </is>
      </c>
    </row>
    <row r="3" ht="23.25" customHeight="1" s="25">
      <c r="A3" s="39" t="inlineStr">
        <is>
          <t>First Resonance</t>
        </is>
      </c>
      <c r="B3" s="40" t="inlineStr">
        <is>
          <t>Tier 1 - Strong fit</t>
        </is>
      </c>
      <c r="C3" s="41" t="inlineStr">
        <is>
          <t>Factory OS / manufacturing software</t>
        </is>
      </c>
      <c r="D3" s="41" t="inlineStr">
        <is>
          <t>Los Angeles, CA</t>
        </is>
      </c>
      <c r="E3" s="41" t="inlineStr">
        <is>
          <t>~64</t>
        </is>
      </c>
      <c r="F3" s="41" t="inlineStr">
        <is>
          <t>~$32M Series A (Jan 2025)</t>
        </is>
      </c>
      <c r="G3" s="41" t="inlineStr">
        <is>
          <t>Karan Talati</t>
        </is>
      </c>
      <c r="H3" s="41" t="inlineStr">
        <is>
          <t>No CRO/VP Sales found. Recruiting a VP Revenue / VP Sales; no hire announced.</t>
        </is>
      </c>
      <c r="I3" s="41" t="inlineStr">
        <is>
          <t>Open VP Revenue search = clear gap; fractional bridge pitch.</t>
        </is>
      </c>
      <c r="J3" s="41" t="inlineStr">
        <is>
          <t>Confirm VP Revenue req still open.</t>
        </is>
      </c>
      <c r="K3" s="41" t="inlineStr">
        <is>
          <t>https://www.builtinla.com/job/vp-revenue/4823382 ; https://www.hirebase.org/company/first-resonance/jobs/vp-revenue-1</t>
        </is>
      </c>
      <c r="L3" s="42" t="inlineStr">
        <is>
          <t>Not contacted</t>
        </is>
      </c>
      <c r="M3" s="43" t="inlineStr">
        <is>
          <t>FAIL</t>
        </is>
      </c>
      <c r="N3" s="41" t="inlineStr">
        <is>
          <t>Built sales org: Director of Sales + AEs + BDRs + SEs; recruiting VP Sales</t>
        </is>
      </c>
    </row>
    <row r="4" ht="23.25" customHeight="1" s="25">
      <c r="A4" s="39" t="inlineStr">
        <is>
          <t>Overview.ai</t>
        </is>
      </c>
      <c r="B4" s="40" t="inlineStr">
        <is>
          <t>Tier 1 - Strong fit</t>
        </is>
      </c>
      <c r="C4" s="41" t="inlineStr">
        <is>
          <t>Industrial machine vision / QA</t>
        </is>
      </c>
      <c r="D4" s="41" t="inlineStr">
        <is>
          <t>SF Bay Area, CA</t>
        </is>
      </c>
      <c r="E4" s="41" t="inlineStr">
        <is>
          <t>~64</t>
        </is>
      </c>
      <c r="F4" s="41" t="inlineStr">
        <is>
          <t>$13.3M (Series A)</t>
        </is>
      </c>
      <c r="G4" s="41" t="inlineStr">
        <is>
          <t>Founder-led (a founder is acting Head of Revenue)</t>
        </is>
      </c>
      <c r="H4" s="41" t="inlineStr">
        <is>
          <t>Founder runs revenue ($0 -&gt; $20M). VP Sales role posted; no hire announced.</t>
        </is>
      </c>
      <c r="I4" s="41" t="inlineStr">
        <is>
          <t>Founder-led sales hitting a ceiling at $20M; building first sales org.</t>
        </is>
      </c>
      <c r="J4" s="41" t="inlineStr">
        <is>
          <t>Confirm VP Sales req still open; confirm founder name.</t>
        </is>
      </c>
      <c r="K4" s="41" t="inlineStr">
        <is>
          <t>https://www.builtinsf.com/job/vp-sales/11056189</t>
        </is>
      </c>
      <c r="L4" s="42" t="inlineStr">
        <is>
          <t>Not contacted</t>
        </is>
      </c>
      <c r="M4" s="43" t="inlineStr">
        <is>
          <t>FAIL</t>
        </is>
      </c>
      <c r="N4" s="41" t="inlineStr">
        <is>
          <t>Founder is Head of Revenue; SAMs/AEs/BDRs/SEs already in place</t>
        </is>
      </c>
    </row>
    <row r="5" ht="34.5" customHeight="1" s="25">
      <c r="A5" s="39" t="inlineStr">
        <is>
          <t>HappyRobot</t>
        </is>
      </c>
      <c r="B5" s="40" t="inlineStr">
        <is>
          <t>Tier 1 - Strong fit</t>
        </is>
      </c>
      <c r="C5" s="41" t="inlineStr">
        <is>
          <t>AI agents for logistics/supply chain</t>
        </is>
      </c>
      <c r="D5" s="41" t="inlineStr">
        <is>
          <t>San Francisco, CA</t>
        </is>
      </c>
      <c r="E5" s="41" t="inlineStr">
        <is>
          <t>~63</t>
        </is>
      </c>
      <c r="F5" s="41" t="inlineStr">
        <is>
          <t>$44M Series B (Sep 2025; Base10, a16z)</t>
        </is>
      </c>
      <c r="G5" s="41" t="inlineStr">
        <is>
          <t>Pablo Palafox (co-founder)</t>
        </is>
      </c>
      <c r="H5" s="41" t="inlineStr">
        <is>
          <t>Only a Head of Growth found. Hiring VP Regional Sales; no CRO/VP Sales in place.</t>
        </is>
      </c>
      <c r="I5" s="41" t="inlineStr">
        <is>
          <t>Fresh Series B earmarked for GTM; building sales leadership now.</t>
        </is>
      </c>
      <c r="J5" s="41" t="inlineStr">
        <is>
          <t>Confirm no VP Sales hired since posting.</t>
        </is>
      </c>
      <c r="K5" s="41" t="inlineStr">
        <is>
          <t>https://www.wilmerhale.com/en/insights/news/20250904-happyrobot-secures-44m-in-series-b-funding ; https://www.builtinnyc.com/company/happyrobot/jobs</t>
        </is>
      </c>
      <c r="L5" s="42" t="inlineStr">
        <is>
          <t>Not contacted</t>
        </is>
      </c>
      <c r="M5" s="43" t="inlineStr">
        <is>
          <t>FAIL</t>
        </is>
      </c>
      <c r="N5" s="41" t="inlineStr">
        <is>
          <t>Head of Growth (auto-fail title); logistics; multiple Enterprise AEs</t>
        </is>
      </c>
    </row>
    <row r="6" ht="45.75" customHeight="1" s="25">
      <c r="A6" s="39" t="inlineStr">
        <is>
          <t>Togal.AI</t>
        </is>
      </c>
      <c r="B6" s="40" t="inlineStr">
        <is>
          <t>Tier 1 - Strong fit</t>
        </is>
      </c>
      <c r="C6" s="41" t="inlineStr">
        <is>
          <t>Construction AI (takeoff/estimating)</t>
        </is>
      </c>
      <c r="D6" s="41" t="inlineStr">
        <is>
          <t>Miami, FL</t>
        </is>
      </c>
      <c r="E6" s="41" t="inlineStr">
        <is>
          <t>~54 (plans +100 hires in 2026)</t>
        </is>
      </c>
      <c r="F6" s="41" t="inlineStr">
        <is>
          <t>$7-17.5M</t>
        </is>
      </c>
      <c r="G6" s="41" t="inlineStr">
        <is>
          <t>Patrick Murphy (verify)</t>
        </is>
      </c>
      <c r="H6" s="41" t="inlineStr">
        <is>
          <t>No CRO/VP Sales/Head of Sales found. Hiring Director of Revenue (RevOps).</t>
        </is>
      </c>
      <c r="I6" s="41" t="inlineStr">
        <is>
          <t>ARR up &gt;1,000% (Jan 2024-Dec 2025) and doubling headcount - sales engine needs structure.</t>
        </is>
      </c>
      <c r="J6" s="41" t="inlineStr">
        <is>
          <t>Confirm CEO name and that no VP Sales was hired.</t>
        </is>
      </c>
      <c r="K6" s="41" t="inlineStr">
        <is>
          <t>https://refreshmiami.com/news/8-things-to-know-in-miamitech-togal-ai-plans-hiring-spree-in-2026-plus-news-from-vitalis-ventures-pairsoft-space-florida-xpoint-pillar-security-ace-padel-boats-group-more/ ; https://www.builtinla.com/job/director-revenue/9584227</t>
        </is>
      </c>
      <c r="L6" s="42" t="inlineStr">
        <is>
          <t>Not contacted</t>
        </is>
      </c>
      <c r="M6" s="43" t="inlineStr">
        <is>
          <t>FAIL</t>
        </is>
      </c>
      <c r="N6" s="41" t="inlineStr">
        <is>
          <t>Head of Growth Johnny Maghzal; built sales org; construction tech (your check)</t>
        </is>
      </c>
    </row>
    <row r="7" ht="57" customHeight="1" s="25">
      <c r="A7" s="39" t="inlineStr">
        <is>
          <t>Squint</t>
        </is>
      </c>
      <c r="B7" s="40" t="inlineStr">
        <is>
          <t>Tier 1 - Strong fit</t>
        </is>
      </c>
      <c r="C7" s="41" t="inlineStr">
        <is>
          <t>AR / AI for manufacturing frontline</t>
        </is>
      </c>
      <c r="D7" s="41" t="inlineStr">
        <is>
          <t>US (verify HQ)</t>
        </is>
      </c>
      <c r="E7" s="41" t="inlineStr">
        <is>
          <t>60-105 (most sources 70-82)</t>
        </is>
      </c>
      <c r="F7" s="41" t="inlineStr">
        <is>
          <t>$40M at $265M valuation (Aug 2025)</t>
        </is>
      </c>
      <c r="G7" s="41" t="inlineStr">
        <is>
          <t>Devin Bhushan</t>
        </is>
      </c>
      <c r="H7" s="41" t="inlineStr">
        <is>
          <t>No CRO/VP Sales/Head of Sales found. Hiring Director of Enterprise Sales (incl. Utilities).</t>
        </is>
      </c>
      <c r="I7" s="41" t="inlineStr">
        <is>
          <t>Building first enterprise sales layer under the founder.</t>
        </is>
      </c>
      <c r="J7" s="41" t="inlineStr">
        <is>
          <t>Confirm HQ.</t>
        </is>
      </c>
      <c r="K7" s="41" t="inlineStr">
        <is>
          <t>https://fortune.com/2025/08/12/exclusive-squint-raises-40-million-at-265-million-valuation-to-modernize-manufacturing-for-companies-like-pepsi-and-michelin ; https://www.purpose.jobs/discover/companies/squint-2/jobs/60675705-director-of-enterprise-sales</t>
        </is>
      </c>
      <c r="L7" s="42" t="inlineStr">
        <is>
          <t>Not contacted</t>
        </is>
      </c>
      <c r="M7" s="43" t="inlineStr">
        <is>
          <t>FAIL</t>
        </is>
      </c>
      <c r="N7" s="41" t="inlineStr">
        <is>
          <t>CRO Stuart Wilson + full enterprise sales org (your check)</t>
        </is>
      </c>
    </row>
    <row r="8" ht="23.25" customHeight="1" s="25">
      <c r="A8" s="39" t="inlineStr">
        <is>
          <t>Guidewheel</t>
        </is>
      </c>
      <c r="B8" s="40" t="inlineStr">
        <is>
          <t>Tier 1 - Strong fit</t>
        </is>
      </c>
      <c r="C8" s="41" t="inlineStr">
        <is>
          <t>Factory monitoring / manufacturing AI</t>
        </is>
      </c>
      <c r="D8" s="41" t="inlineStr">
        <is>
          <t>San Francisco, CA</t>
        </is>
      </c>
      <c r="E8" s="41" t="inlineStr">
        <is>
          <t>~97</t>
        </is>
      </c>
      <c r="F8" s="41" t="inlineStr">
        <is>
          <t>$40M (Series B $31M, Aug 2024)</t>
        </is>
      </c>
      <c r="G8" s="41" t="inlineStr">
        <is>
          <t>Lauren Dunford</t>
        </is>
      </c>
      <c r="H8" s="41" t="inlineStr">
        <is>
          <t>No CRO/VP Sales/Head of Sales found. Hiring AEs.</t>
        </is>
      </c>
      <c r="I8" s="41" t="inlineStr">
        <is>
          <t>Core industrial-AI niche; founder-led with AE hiring.</t>
        </is>
      </c>
      <c r="J8" s="41" t="inlineStr">
        <is>
          <t>-</t>
        </is>
      </c>
      <c r="K8" s="41" t="inlineStr">
        <is>
          <t>https://getlatka.com/companies/guidewheel ; https://startup.jobs/account-executive-guidewheel-7222872</t>
        </is>
      </c>
      <c r="L8" s="42" t="inlineStr">
        <is>
          <t>Not contacted</t>
        </is>
      </c>
      <c r="M8" s="43" t="inlineStr">
        <is>
          <t>FAIL</t>
        </is>
      </c>
      <c r="N8" s="41" t="inlineStr">
        <is>
          <t>Enterprise AEs + SVP Sales/revenue roles posted; VP/Head of CX</t>
        </is>
      </c>
    </row>
    <row r="9" ht="34.5" customHeight="1" s="25">
      <c r="A9" s="39" t="inlineStr">
        <is>
          <t>GrayMatter Robotics</t>
        </is>
      </c>
      <c r="B9" s="40" t="inlineStr">
        <is>
          <t>Tier 1 - Strong fit</t>
        </is>
      </c>
      <c r="C9" s="41" t="inlineStr">
        <is>
          <t>AI robotics for high-mix manufacturing</t>
        </is>
      </c>
      <c r="D9" s="41" t="inlineStr">
        <is>
          <t>Los Angeles area, CA</t>
        </is>
      </c>
      <c r="E9" s="41" t="inlineStr">
        <is>
          <t>75-124</t>
        </is>
      </c>
      <c r="F9" s="41" t="inlineStr">
        <is>
          <t>$71M (Series B $45M, 2024)</t>
        </is>
      </c>
      <c r="G9" s="41" t="inlineStr">
        <is>
          <t>Ariyan Kabir</t>
        </is>
      </c>
      <c r="H9" s="41" t="inlineStr">
        <is>
          <t>No CRO/VP Sales/Head of Sales found. Hiring AEs and Key Account Managers.</t>
        </is>
      </c>
      <c r="I9" s="41" t="inlineStr">
        <is>
          <t>Core industrial-AI niche; sales team forming without a leader.</t>
        </is>
      </c>
      <c r="J9" s="41" t="inlineStr">
        <is>
          <t>-</t>
        </is>
      </c>
      <c r="K9" s="41" t="inlineStr">
        <is>
          <t>https://www.builtinchicago.org/company/graymatter-robotics/faq/leadership-management ; https://builtinla.com/job/account-executive/174832</t>
        </is>
      </c>
      <c r="L9" s="42" t="inlineStr">
        <is>
          <t>Not contacted</t>
        </is>
      </c>
      <c r="M9" s="44" t="inlineStr">
        <is>
          <t>PASS (confirm 1 item)</t>
        </is>
      </c>
      <c r="N9" s="41" t="inlineStr">
        <is>
          <t>Only IC commercial staff found: 1 Account Manager, 1 BD rep (ex-SDR), 1 growth marketer. No sales leader. Confirm Rand Owens' title is not Head of Growth</t>
        </is>
      </c>
    </row>
    <row r="10" ht="23.25" customHeight="1" s="25">
      <c r="A10" s="39" t="inlineStr">
        <is>
          <t>Mytra</t>
        </is>
      </c>
      <c r="B10" s="40" t="inlineStr">
        <is>
          <t>Tier 1 - Strong fit</t>
        </is>
      </c>
      <c r="C10" s="41" t="inlineStr">
        <is>
          <t>Warehouse storage robotics</t>
        </is>
      </c>
      <c r="D10" s="41" t="inlineStr">
        <is>
          <t>South San Francisco, CA</t>
        </is>
      </c>
      <c r="E10" s="41" t="inlineStr">
        <is>
          <t>~147 (+274% since 2023)</t>
        </is>
      </c>
      <c r="F10" s="41" t="inlineStr">
        <is>
          <t>$198M (Series C $120M, Jan 2026)</t>
        </is>
      </c>
      <c r="G10" s="41" t="inlineStr">
        <is>
          <t>Chris Walti</t>
        </is>
      </c>
      <c r="H10" s="41" t="inlineStr">
        <is>
          <t>No CRO/VP Sales found. Hiring Director of Business Development.</t>
        </is>
      </c>
      <c r="I10" s="41" t="inlineStr">
        <is>
          <t>Fast growth after Series C, Fortune 100 customers - needs a revenue engine.</t>
        </is>
      </c>
      <c r="J10" s="41" t="inlineStr">
        <is>
          <t>Well funded - may prefer a full-time hire; pitch as bridge.</t>
        </is>
      </c>
      <c r="K10" s="41" t="inlineStr">
        <is>
          <t>https://www.reveliolabs.com/companies/mytra/employees ; https://app.welcometothejungle.com/jobs/Cp9vfLv5/company</t>
        </is>
      </c>
      <c r="L10" s="42" t="inlineStr">
        <is>
          <t>Not contacted</t>
        </is>
      </c>
      <c r="M10" s="43" t="inlineStr">
        <is>
          <t>FAIL</t>
        </is>
      </c>
      <c r="N10" s="41" t="inlineStr">
        <is>
          <t>CRO Adrian Grigg</t>
        </is>
      </c>
    </row>
    <row r="11" ht="45.75" customHeight="1" s="25">
      <c r="A11" s="39" t="inlineStr">
        <is>
          <t>Freeform</t>
        </is>
      </c>
      <c r="B11" s="40" t="inlineStr">
        <is>
          <t>Tier 1 - Strong fit</t>
        </is>
      </c>
      <c r="C11" s="41" t="inlineStr">
        <is>
          <t>AI-driven metal 3D printing</t>
        </is>
      </c>
      <c r="D11" s="41" t="inlineStr">
        <is>
          <t>Los Angeles area, CA</t>
        </is>
      </c>
      <c r="E11" s="41" t="inlineStr">
        <is>
          <t>21-100 (+57% YoY)</t>
        </is>
      </c>
      <c r="F11" s="41" t="inlineStr">
        <is>
          <t>$67M Series B (Feb 2026)</t>
        </is>
      </c>
      <c r="G11" s="41" t="inlineStr">
        <is>
          <t>Erik Palitsch (co-founder)</t>
        </is>
      </c>
      <c r="H11" s="41" t="inlineStr">
        <is>
          <t>No CRO/VP Sales found; only a Technical Sales Director role.</t>
        </is>
      </c>
      <c r="I11" s="41" t="inlineStr">
        <is>
          <t>New Series B and rapid hiring; commercial org still IC-level.</t>
        </is>
      </c>
      <c r="J11" s="41" t="inlineStr">
        <is>
          <t>Confirm current headcount is 50+.</t>
        </is>
      </c>
      <c r="K11" s="41" t="inlineStr">
        <is>
          <t>https://techcrunch.com/2026/02/19/freeform-raises-67m-series-b-to-scale-up-laser-ai-manufacturing/ ; https://jobs.spacetalent.org/companies/freeform-2/jobs/65202912-technical-sales-director</t>
        </is>
      </c>
      <c r="L11" s="42" t="inlineStr">
        <is>
          <t>Not contacted</t>
        </is>
      </c>
      <c r="M11" s="43" t="inlineStr">
        <is>
          <t>FAIL</t>
        </is>
      </c>
      <c r="N11" s="41" t="inlineStr">
        <is>
          <t>VP Business Development Zachary Murphree</t>
        </is>
      </c>
    </row>
    <row r="12" ht="23.25" customHeight="1" s="25">
      <c r="A12" s="39" t="inlineStr">
        <is>
          <t>Senra Systems</t>
        </is>
      </c>
      <c r="B12" s="40" t="inlineStr">
        <is>
          <t>Tier 1 - Strong fit</t>
        </is>
      </c>
      <c r="C12" s="41" t="inlineStr">
        <is>
          <t>Software-driven wire harness manufacturing</t>
        </is>
      </c>
      <c r="D12" s="41" t="inlineStr">
        <is>
          <t>US (verify HQ)</t>
        </is>
      </c>
      <c r="E12" s="41" t="inlineStr">
        <is>
          <t>65+</t>
        </is>
      </c>
      <c r="F12" s="41" t="inlineStr">
        <is>
          <t>$112M (Series B $65M, Jul 2026)</t>
        </is>
      </c>
      <c r="G12" s="41" t="inlineStr">
        <is>
          <t>Jordan Black (founder)</t>
        </is>
      </c>
      <c r="H12" s="41" t="inlineStr">
        <is>
          <t>No CRO/VP Sales/Head of Sales found (CTO/CPO and CFO hired, no sales exec).</t>
        </is>
      </c>
      <c r="I12" s="41" t="inlineStr">
        <is>
          <t>Just raised and opening 3rd factory - capacity to sell, no sales leader.</t>
        </is>
      </c>
      <c r="J12" s="41" t="inlineStr">
        <is>
          <t>Confirm HQ.</t>
        </is>
      </c>
      <c r="K12" s="41" t="inlineStr">
        <is>
          <t>https://pulse2.com/senra-systems-announces-65-million-series-b-and-plans-for-third-manufacturing-facility/</t>
        </is>
      </c>
      <c r="L12" s="42" t="inlineStr">
        <is>
          <t>Not contacted</t>
        </is>
      </c>
      <c r="M12" s="44" t="inlineStr">
        <is>
          <t>PASS</t>
        </is>
      </c>
      <c r="N12" s="41" t="inlineStr">
        <is>
          <t>No sales/BD/growth staff surfaced on LinkedIn; CEO Jordan Black sells; manufacturing; Cypress, CA; $65M Series B Jul 2026</t>
        </is>
      </c>
    </row>
    <row r="13" ht="23.25" customHeight="1" s="25">
      <c r="A13" s="39" t="inlineStr">
        <is>
          <t>Robust.AI</t>
        </is>
      </c>
      <c r="B13" s="40" t="inlineStr">
        <is>
          <t>Tier 1 - Strong fit</t>
        </is>
      </c>
      <c r="C13" s="41" t="inlineStr">
        <is>
          <t>Collaborative warehouse robots</t>
        </is>
      </c>
      <c r="D13" s="41" t="inlineStr">
        <is>
          <t>SF Bay Area, CA</t>
        </is>
      </c>
      <c r="E13" s="41" t="inlineStr">
        <is>
          <t>66-76</t>
        </is>
      </c>
      <c r="F13" s="41" t="inlineStr">
        <is>
          <t>~$42.5M; $15.4M revenue (2025)</t>
        </is>
      </c>
      <c r="G13" s="41" t="inlineStr">
        <is>
          <t>Anthony Jules (co-founder; Rodney Brooks CTO)</t>
        </is>
      </c>
      <c r="H13" s="41" t="inlineStr">
        <is>
          <t>No CRO/VP Sales found. Hiring Strategic Sales Director and AEs.</t>
        </is>
      </c>
      <c r="I13" s="41" t="inlineStr">
        <is>
          <t>Revenue-generating, DHL alliance; scaling sales without an exec.</t>
        </is>
      </c>
      <c r="J13" s="41" t="inlineStr">
        <is>
          <t>-</t>
        </is>
      </c>
      <c r="K13" s="41" t="inlineStr">
        <is>
          <t>https://app.welcometothejungle.com/jobs/HmKfGJUZ/company ; https://getlatka.com/companies/robust.ai</t>
        </is>
      </c>
      <c r="L13" s="42" t="inlineStr">
        <is>
          <t>Not contacted</t>
        </is>
      </c>
      <c r="M13" s="43" t="inlineStr">
        <is>
          <t>FAIL</t>
        </is>
      </c>
      <c r="N13" s="41" t="inlineStr">
        <is>
          <t>Strategic Sales Director + AEs; warehouse logistics</t>
        </is>
      </c>
    </row>
    <row r="14" ht="23.25" customHeight="1" s="25">
      <c r="A14" s="39" t="inlineStr">
        <is>
          <t>UnitX</t>
        </is>
      </c>
      <c r="B14" s="40" t="inlineStr">
        <is>
          <t>Tier 1 - Strong fit</t>
        </is>
      </c>
      <c r="C14" s="41" t="inlineStr">
        <is>
          <t>AI visual inspection for manufacturing</t>
        </is>
      </c>
      <c r="D14" s="41" t="inlineStr">
        <is>
          <t>SF Bay Area, CA</t>
        </is>
      </c>
      <c r="E14" s="41" t="inlineStr">
        <is>
          <t>~106 (+48% since 2023)</t>
        </is>
      </c>
      <c r="F14" s="41" t="inlineStr">
        <is>
          <t>$106M (Series B $46M, Nov 2024)</t>
        </is>
      </c>
      <c r="G14" s="41" t="inlineStr">
        <is>
          <t>Keven Wang (co-founder)</t>
        </is>
      </c>
      <c r="H14" s="41" t="inlineStr">
        <is>
          <t>No CRO/VP Sales found. Highest sales title: Director of North American Sales; some roles report to CEO.</t>
        </is>
      </c>
      <c r="I14" s="41" t="inlineStr">
        <is>
          <t>Core industrial-AI niche; growing, sales led by a director.</t>
        </is>
      </c>
      <c r="J14" s="41" t="inlineStr">
        <is>
          <t>-</t>
        </is>
      </c>
      <c r="K14" s="41" t="inlineStr">
        <is>
          <t>https://www.reveliolabs.com/companies/unitx/employees ; https://builtin.com/job/account-executive/7319735</t>
        </is>
      </c>
      <c r="L14" s="42" t="inlineStr">
        <is>
          <t>Not contacted</t>
        </is>
      </c>
      <c r="M14" s="43" t="inlineStr">
        <is>
          <t>FAIL</t>
        </is>
      </c>
      <c r="N14" s="41" t="inlineStr">
        <is>
          <t>Director of NA Sales + Regional Sales Manager + AEs</t>
        </is>
      </c>
    </row>
    <row r="15" ht="34.5" customHeight="1" s="25">
      <c r="A15" s="39" t="inlineStr">
        <is>
          <t>Reframe Systems</t>
        </is>
      </c>
      <c r="B15" s="40" t="inlineStr">
        <is>
          <t>Tier 1 - Strong fit</t>
        </is>
      </c>
      <c r="C15" s="41" t="inlineStr">
        <is>
          <t>Robotic microfactories for housing</t>
        </is>
      </c>
      <c r="D15" s="41" t="inlineStr">
        <is>
          <t>Andover, MA</t>
        </is>
      </c>
      <c r="E15" s="41" t="inlineStr">
        <is>
          <t>~67</t>
        </is>
      </c>
      <c r="F15" s="41" t="inlineStr">
        <is>
          <t>$40M Series B</t>
        </is>
      </c>
      <c r="G15" s="41" t="inlineStr">
        <is>
          <t>Vikas Enti (ex-Amazon Robotics)</t>
        </is>
      </c>
      <c r="H15" s="41" t="inlineStr">
        <is>
          <t>No CRO/VP Sales/Head of Sales found.</t>
        </is>
      </c>
      <c r="I15" s="41" t="inlineStr">
        <is>
          <t>Scaling factories after Series B; East Coast (Colin's time zone).</t>
        </is>
      </c>
      <c r="J15" s="41" t="inlineStr">
        <is>
          <t>-</t>
        </is>
      </c>
      <c r="K15" s="41" t="inlineStr">
        <is>
          <t>https://www.therobotreport.com/reframe-systems-raises-40m-scale-robotic-microfactories-home-building/ ; https://rocketlist.ai/companies/reframe-systems</t>
        </is>
      </c>
      <c r="L15" s="42" t="inlineStr">
        <is>
          <t>Not contacted</t>
        </is>
      </c>
      <c r="M15" s="43" t="inlineStr">
        <is>
          <t>FAIL</t>
        </is>
      </c>
      <c r="N15" s="41" t="inlineStr">
        <is>
          <t>Sector: housing construction</t>
        </is>
      </c>
    </row>
    <row r="16" ht="34.5" customHeight="1" s="25">
      <c r="A16" s="39" t="inlineStr">
        <is>
          <t>Overstory</t>
        </is>
      </c>
      <c r="B16" s="40" t="inlineStr">
        <is>
          <t>Tier 1 - Strong fit</t>
        </is>
      </c>
      <c r="C16" s="41" t="inlineStr">
        <is>
          <t>Vegetation/wildfire AI for utilities</t>
        </is>
      </c>
      <c r="D16" s="41" t="inlineStr">
        <is>
          <t>Boston, MA (US HQ) / Amsterdam</t>
        </is>
      </c>
      <c r="E16" s="41" t="inlineStr">
        <is>
          <t>80+</t>
        </is>
      </c>
      <c r="F16" s="41" t="inlineStr">
        <is>
          <t>$43M Series B (Nov 2025)</t>
        </is>
      </c>
      <c r="G16" s="41" t="inlineStr">
        <is>
          <t>Co-founders; Anniek Schouten COO</t>
        </is>
      </c>
      <c r="H16" s="41" t="inlineStr">
        <is>
          <t>No CRO/VP Sales found. Hiring RevOps manager and VP Marketing.</t>
        </is>
      </c>
      <c r="I16" s="41" t="inlineStr">
        <is>
          <t>Series B for US expansion; building GTM infrastructure.</t>
        </is>
      </c>
      <c r="J16" s="41" t="inlineStr">
        <is>
          <t>Confirm CEO name.</t>
        </is>
      </c>
      <c r="K16" s="41" t="inlineStr">
        <is>
          <t>https://www.esgtoday.com/overstory-raises-43-million-to-help-utilities-avoid-wildfires-with-ai/ ; https://builtin.com/job/senior-manager-revenue-operations/7765978</t>
        </is>
      </c>
      <c r="L16" s="42" t="inlineStr">
        <is>
          <t>Not contacted</t>
        </is>
      </c>
      <c r="M16" s="43" t="inlineStr">
        <is>
          <t>FAIL</t>
        </is>
      </c>
      <c r="N16" s="41" t="inlineStr">
        <is>
          <t>Sector: utilities; RevOps function already hired</t>
        </is>
      </c>
    </row>
    <row r="17" ht="34.5" customHeight="1" s="25">
      <c r="A17" s="39" t="inlineStr">
        <is>
          <t>Verdant Robotics</t>
        </is>
      </c>
      <c r="B17" s="40" t="inlineStr">
        <is>
          <t>Tier 1 - Strong fit</t>
        </is>
      </c>
      <c r="C17" s="41" t="inlineStr">
        <is>
          <t>Ag robotics (precision spraying)</t>
        </is>
      </c>
      <c r="D17" s="41" t="inlineStr">
        <is>
          <t>Hayward, CA</t>
        </is>
      </c>
      <c r="E17" s="41" t="inlineStr">
        <is>
          <t>~105 (sources vary)</t>
        </is>
      </c>
      <c r="F17" s="41" t="inlineStr">
        <is>
          <t>~$58M; later-stage round Jan 2026</t>
        </is>
      </c>
      <c r="G17" s="41" t="inlineStr">
        <is>
          <t>Gabe Sibley (verify)</t>
        </is>
      </c>
      <c r="H17" s="41" t="inlineStr">
        <is>
          <t>No CRO/VP Sales found. Hiring Director of Sales and Area Sales Managers.</t>
        </is>
      </c>
      <c r="I17" s="41" t="inlineStr">
        <is>
          <t>New funding in 2026; dealer + direct sales motion being built.</t>
        </is>
      </c>
      <c r="J17" s="41" t="inlineStr">
        <is>
          <t>Headcount sources conflict (11-50 vs ~105).</t>
        </is>
      </c>
      <c r="K17" s="41" t="inlineStr">
        <is>
          <t>https://jobs.dcvc.com/companies/verdant-robotics/jobs/32840749-director-of-sales ; https://www.premieralts.com/companies/verdant-robotics/funding-history</t>
        </is>
      </c>
      <c r="L17" s="42" t="inlineStr">
        <is>
          <t>Not contacted</t>
        </is>
      </c>
      <c r="M17" s="43" t="inlineStr">
        <is>
          <t>FAIL</t>
        </is>
      </c>
      <c r="N17" s="41" t="inlineStr">
        <is>
          <t>Ag sector; Director of Sales + Area Sales Managers</t>
        </is>
      </c>
    </row>
    <row r="18" ht="45.75" customHeight="1" s="25">
      <c r="A18" s="39" t="inlineStr">
        <is>
          <t>Exowatt</t>
        </is>
      </c>
      <c r="B18" s="40" t="inlineStr">
        <is>
          <t>Tier 1 - Strong fit</t>
        </is>
      </c>
      <c r="C18" s="41" t="inlineStr">
        <is>
          <t>Dispatchable solar/thermal energy for data centers</t>
        </is>
      </c>
      <c r="D18" s="41" t="inlineStr">
        <is>
          <t>Miami, FL</t>
        </is>
      </c>
      <c r="E18" s="41" t="inlineStr">
        <is>
          <t>47-94</t>
        </is>
      </c>
      <c r="F18" s="41" t="inlineStr">
        <is>
          <t>~$105-140M (Series A $70M)</t>
        </is>
      </c>
      <c r="G18" s="41" t="inlineStr">
        <is>
          <t>Hannan Happi (verify)</t>
        </is>
      </c>
      <c r="H18" s="41" t="inlineStr">
        <is>
          <t>No CRO/VP Sales found. Hiring a Go-to-Market Lead reporting to the CEO.</t>
        </is>
      </c>
      <c r="I18" s="41" t="inlineStr">
        <is>
          <t>CEO-led GTM, building commercial engine now.</t>
        </is>
      </c>
      <c r="J18" s="41" t="inlineStr">
        <is>
          <t>Confirm CEO name.</t>
        </is>
      </c>
      <c r="K18" s="41" t="inlineStr">
        <is>
          <t>https://jobs.mcj.vc/companies/exowatt-2/jobs/60837627-go-to-market-lead ; https://businesswire.com/news/home/20260205790214/en/Exowatt-Scales-Executive-Team-to-Meet-AIs-Surging-Energy-Demand-with-Dispatchable-Solar</t>
        </is>
      </c>
      <c r="L18" s="42" t="inlineStr">
        <is>
          <t>Not contacted</t>
        </is>
      </c>
      <c r="M18" s="43" t="inlineStr">
        <is>
          <t>FAIL</t>
        </is>
      </c>
      <c r="N18" s="41" t="inlineStr">
        <is>
          <t>Sector: energy</t>
        </is>
      </c>
    </row>
    <row r="19" ht="45.75" customHeight="1" s="25">
      <c r="A19" s="39" t="inlineStr">
        <is>
          <t>Hyphen</t>
        </is>
      </c>
      <c r="B19" s="40" t="inlineStr">
        <is>
          <t>Tier 1 - Strong fit</t>
        </is>
      </c>
      <c r="C19" s="41" t="inlineStr">
        <is>
          <t>Automated meal-production robotics</t>
        </is>
      </c>
      <c r="D19" s="41" t="inlineStr">
        <is>
          <t>San Jose, CA</t>
        </is>
      </c>
      <c r="E19" s="41" t="inlineStr">
        <is>
          <t>~120</t>
        </is>
      </c>
      <c r="F19" s="41" t="inlineStr">
        <is>
          <t>$25M Series B (Aug 2025, CAVA)</t>
        </is>
      </c>
      <c r="G19" s="41" t="inlineStr">
        <is>
          <t>Stephen Klein</t>
        </is>
      </c>
      <c r="H19" s="41" t="inlineStr">
        <is>
          <t>No CRO/VP Sales/Head of Sales found.</t>
        </is>
      </c>
      <c r="I19" s="41" t="inlineStr">
        <is>
          <t>Post-Series B scaling to restaurant chains (B2B enterprise sale).</t>
        </is>
      </c>
      <c r="J19" s="41" t="inlineStr">
        <is>
          <t>-</t>
        </is>
      </c>
      <c r="K19" s="41" t="inlineStr">
        <is>
          <t>https://pulse2.com/hyphen-25-million-series-b/ ; https://agfundernews.com/meet-the-founder-hyphens-stephen-klein-on-humbling-startup-experiences-pandemic-pivots-and-why-you-dont-need-a-robotic-sledgehammer-to-crack-a-nut</t>
        </is>
      </c>
      <c r="L19" s="42" t="inlineStr">
        <is>
          <t>Not contacted</t>
        </is>
      </c>
      <c r="M19" s="43" t="inlineStr">
        <is>
          <t>FAIL</t>
        </is>
      </c>
      <c r="N19" s="41" t="inlineStr">
        <is>
          <t>Sector: food service</t>
        </is>
      </c>
    </row>
    <row r="20" ht="34.5" customHeight="1" s="25">
      <c r="A20" s="39" t="inlineStr">
        <is>
          <t>Phaidra</t>
        </is>
      </c>
      <c r="B20" s="45" t="inlineStr">
        <is>
          <t>Tier 2 - Fit, verify 1 item</t>
        </is>
      </c>
      <c r="C20" s="41" t="inlineStr">
        <is>
          <t>Industrial AI control (energy/data centers)</t>
        </is>
      </c>
      <c r="D20" s="41" t="inlineStr">
        <is>
          <t>Seattle, WA</t>
        </is>
      </c>
      <c r="E20" s="41" t="inlineStr">
        <is>
          <t>~91 (job posts +127% in 2026)</t>
        </is>
      </c>
      <c r="F20" s="41" t="inlineStr">
        <is>
          <t>$80.5M (Series B $50M, Oct 2025)</t>
        </is>
      </c>
      <c r="G20" s="41" t="inlineStr">
        <is>
          <t>Jim Gao</t>
        </is>
      </c>
      <c r="H20" s="41" t="inlineStr">
        <is>
          <t>No CRO/VP Sales/CCO found.</t>
        </is>
      </c>
      <c r="I20" s="41" t="inlineStr">
        <is>
          <t>Growing fast post-Series B; core industrial-AI niche.</t>
        </is>
      </c>
      <c r="J20" s="41" t="inlineStr">
        <is>
          <t>President &amp; Chief Strategy Officer Robert Locke (ex-Johnson Controls) may own commercial.</t>
        </is>
      </c>
      <c r="K20" s="41" t="inlineStr">
        <is>
          <t>https://www.geekwire.com/2022/seattle-startup-building-industrial-ai-tools-raises-25m-from-deepmind-co-founder-others/ ; https://seedtable.com/companies/phaidra</t>
        </is>
      </c>
      <c r="L20" s="42" t="inlineStr">
        <is>
          <t>Not contacted</t>
        </is>
      </c>
      <c r="M20" s="46" t="inlineStr">
        <is>
          <t>CONDITIONAL</t>
        </is>
      </c>
      <c r="N20" s="41" t="inlineStr">
        <is>
          <t>Industrial AI, no CRO/VP Sales found, but President/CSO Robert Locke (ex-Johnson Controls) may own commercial and a BD Lead is being hired - check LinkedIn</t>
        </is>
      </c>
    </row>
    <row r="21" ht="23.25" customHeight="1" s="25">
      <c r="A21" s="39" t="inlineStr">
        <is>
          <t>Bedrock Robotics</t>
        </is>
      </c>
      <c r="B21" s="45" t="inlineStr">
        <is>
          <t>Tier 2 - Fit, verify 1 item</t>
        </is>
      </c>
      <c r="C21" s="41" t="inlineStr">
        <is>
          <t>Autonomous construction equipment</t>
        </is>
      </c>
      <c r="D21" s="41" t="inlineStr">
        <is>
          <t>San Francisco, CA</t>
        </is>
      </c>
      <c r="E21" s="41" t="inlineStr">
        <is>
          <t>98 -&gt; 149 during 2026</t>
        </is>
      </c>
      <c r="F21" s="41" t="inlineStr">
        <is>
          <t>$270M Series B at $1.75B</t>
        </is>
      </c>
      <c r="G21" s="41" t="inlineStr">
        <is>
          <t>Boris Sofman</t>
        </is>
      </c>
      <c r="H21" s="41" t="inlineStr">
        <is>
          <t>No CRO/VP Sales/Head of Sales found (COO in place).</t>
        </is>
      </c>
      <c r="I21" s="41" t="inlineStr">
        <is>
          <t>Hyper-growth, no sales exec.</t>
        </is>
      </c>
      <c r="J21" s="41" t="inlineStr">
        <is>
          <t>Very well funded - may only want a full-time exec.</t>
        </is>
      </c>
      <c r="K21" s="41" t="inlineStr">
        <is>
          <t>https://pulse2.com/bedrock-robotics-270-million-series-b-at-1-75-billion-valuation/amp/ ; https://www.tipranks.com/private-companies/pc:bedro</t>
        </is>
      </c>
      <c r="L21" s="42" t="inlineStr">
        <is>
          <t>Not contacted</t>
        </is>
      </c>
      <c r="M21" s="43" t="inlineStr">
        <is>
          <t>FAIL</t>
        </is>
      </c>
      <c r="N21" s="41" t="inlineStr">
        <is>
          <t>Sector: construction; $1.75B valuation</t>
        </is>
      </c>
    </row>
    <row r="22" ht="34.5" customHeight="1" s="25">
      <c r="A22" s="39" t="inlineStr">
        <is>
          <t>Agtonomy</t>
        </is>
      </c>
      <c r="B22" s="45" t="inlineStr">
        <is>
          <t>Tier 2 - Fit, verify 1 item</t>
        </is>
      </c>
      <c r="C22" s="41" t="inlineStr">
        <is>
          <t>Autonomous tractors / ag automation</t>
        </is>
      </c>
      <c r="D22" s="41" t="inlineStr">
        <is>
          <t>California (verify)</t>
        </is>
      </c>
      <c r="E22" s="41" t="inlineStr">
        <is>
          <t>51-100</t>
        </is>
      </c>
      <c r="F22" s="41" t="inlineStr">
        <is>
          <t>$73M (Series B $18M, Oct 2025)</t>
        </is>
      </c>
      <c r="G22" s="41" t="inlineStr">
        <is>
          <t>Tim Bucher (verify)</t>
        </is>
      </c>
      <c r="H22" s="41" t="inlineStr">
        <is>
          <t>No CRO/VP Sales found.</t>
        </is>
      </c>
      <c r="I22" s="41" t="inlineStr">
        <is>
          <t>Paid pilots converting to revenue.</t>
        </is>
      </c>
      <c r="J22" s="41" t="inlineStr">
        <is>
          <t>A VP Business Development &amp; Marketing role was posted (2024) - check if filled.</t>
        </is>
      </c>
      <c r="K22" s="41" t="inlineStr">
        <is>
          <t>https://jobs.toyota.ventures/companies/agtonomy/jobs/41163999-vp-of-business-development-and-marketing ; https://www.vcbacked.co/company/agtonomy</t>
        </is>
      </c>
      <c r="L22" s="42" t="inlineStr">
        <is>
          <t>Not contacted</t>
        </is>
      </c>
      <c r="M22" s="43" t="inlineStr">
        <is>
          <t>FAIL</t>
        </is>
      </c>
      <c r="N22" s="41" t="inlineStr">
        <is>
          <t>Sector: agriculture</t>
        </is>
      </c>
    </row>
    <row r="23" ht="34.5" customHeight="1" s="25">
      <c r="A23" s="39" t="inlineStr">
        <is>
          <t>ISEE</t>
        </is>
      </c>
      <c r="B23" s="45" t="inlineStr">
        <is>
          <t>Tier 2 - Fit, verify 1 item</t>
        </is>
      </c>
      <c r="C23" s="41" t="inlineStr">
        <is>
          <t>Autonomous yard trucks</t>
        </is>
      </c>
      <c r="D23" s="41" t="inlineStr">
        <is>
          <t>Cambridge, MA</t>
        </is>
      </c>
      <c r="E23" s="41" t="inlineStr">
        <is>
          <t>51-200</t>
        </is>
      </c>
      <c r="F23" s="41" t="inlineStr">
        <is>
          <t>$53-70M (Series B $40M, Founders Fund)</t>
        </is>
      </c>
      <c r="G23" s="41" t="inlineStr">
        <is>
          <t>Yibiao Zhao</t>
        </is>
      </c>
      <c r="H23" s="41" t="inlineStr">
        <is>
          <t>No CRO/VP Sales/CCO found.</t>
        </is>
      </c>
      <c r="I23" s="41" t="inlineStr">
        <is>
          <t>Commercial deployments live; East Coast.</t>
        </is>
      </c>
      <c r="J23" s="41" t="inlineStr">
        <is>
          <t>Last funding 2022-23 - check runway/growth.</t>
        </is>
      </c>
      <c r="K23" s="41" t="inlineStr">
        <is>
          <t>https://www.robotics247.com/article/isee_raises_series_b_funding_for_self_driving_yard_trucks ; https://craft.co/isee-cambridge</t>
        </is>
      </c>
      <c r="L23" s="42" t="inlineStr">
        <is>
          <t>Not contacted</t>
        </is>
      </c>
      <c r="M23" s="43" t="inlineStr">
        <is>
          <t>FAIL</t>
        </is>
      </c>
      <c r="N23" s="41" t="inlineStr">
        <is>
          <t>Sector: logistics yards</t>
        </is>
      </c>
    </row>
    <row r="24" ht="23.25" customHeight="1" s="25">
      <c r="A24" s="39" t="inlineStr">
        <is>
          <t>Invisible AI</t>
        </is>
      </c>
      <c r="B24" s="45" t="inlineStr">
        <is>
          <t>Tier 2 - Fit, verify 1 item</t>
        </is>
      </c>
      <c r="C24" s="41" t="inlineStr">
        <is>
          <t>Computer vision for assembly lines</t>
        </is>
      </c>
      <c r="D24" s="41" t="inlineStr">
        <is>
          <t>US (verify HQ)</t>
        </is>
      </c>
      <c r="E24" s="41" t="inlineStr">
        <is>
          <t>~75</t>
        </is>
      </c>
      <c r="F24" s="41" t="inlineStr">
        <is>
          <t>$21.6M (last raise 2022)</t>
        </is>
      </c>
      <c r="G24" s="41" t="inlineStr">
        <is>
          <t>Eric Danziger (verify)</t>
        </is>
      </c>
      <c r="H24" s="41" t="inlineStr">
        <is>
          <t>No CRO/VP Sales found; highest sales role is Senior Sales Executive.</t>
        </is>
      </c>
      <c r="I24" s="41" t="inlineStr">
        <is>
          <t>Toyota/Siemens customers; no sales leader.</t>
        </is>
      </c>
      <c r="J24" s="41" t="inlineStr">
        <is>
          <t>Funding is stale (2022) - check budget/headcount trend.</t>
        </is>
      </c>
      <c r="K24" s="41" t="inlineStr">
        <is>
          <t>https://jobs.8vc.com/companies/invisible-ai/jobs/42325556-senior-sales-executive ; https://seedtable.com/companies/invisible-ai</t>
        </is>
      </c>
      <c r="L24" s="42" t="inlineStr">
        <is>
          <t>Not contacted</t>
        </is>
      </c>
      <c r="M24" s="46" t="inlineStr">
        <is>
          <t>NEAR-MISS</t>
        </is>
      </c>
      <c r="N24" s="41" t="inlineStr">
        <is>
          <t>Manufacturing AI, no sales leader found, but LinkedIn lists 11-50 employees and last raise was 2022</t>
        </is>
      </c>
    </row>
    <row r="25" ht="34.5" customHeight="1" s="25">
      <c r="A25" s="39" t="inlineStr">
        <is>
          <t>Oden Technologies</t>
        </is>
      </c>
      <c r="B25" s="45" t="inlineStr">
        <is>
          <t>Tier 2 - Fit, verify 1 item</t>
        </is>
      </c>
      <c r="C25" s="41" t="inlineStr">
        <is>
          <t>Industrial AI for process manufacturing</t>
        </is>
      </c>
      <c r="D25" s="41" t="inlineStr">
        <is>
          <t>New York, NY</t>
        </is>
      </c>
      <c r="E25" s="41" t="inlineStr">
        <is>
          <t>44-54</t>
        </is>
      </c>
      <c r="F25" s="41" t="inlineStr">
        <is>
          <t>$42M (Series B)</t>
        </is>
      </c>
      <c r="G25" s="41" t="inlineStr">
        <is>
          <t>Willem Sundblad</t>
        </is>
      </c>
      <c r="H25" s="41" t="inlineStr">
        <is>
          <t>No CRO/VP Sales/Head of Sales found.</t>
        </is>
      </c>
      <c r="I25" s="41" t="inlineStr">
        <is>
          <t>Core industrial-AI niche; NYC (Colin's time zone).</t>
        </is>
      </c>
      <c r="J25" s="41" t="inlineStr">
        <is>
          <t>Headcount sits right at the 50 floor.</t>
        </is>
      </c>
      <c r="K25" s="41" t="inlineStr">
        <is>
          <t>https://www.reveliolabs.com/companies/oden/employees ; https://mfgnewsdigital.mydigitalpublication.com/article/Oden+Technologies+Appoints+Chief+Technology+Officer/4564524/790011/article.html</t>
        </is>
      </c>
      <c r="L25" s="42" t="inlineStr">
        <is>
          <t>Not contacted</t>
        </is>
      </c>
      <c r="M25" s="43" t="inlineStr">
        <is>
          <t>FAIL</t>
        </is>
      </c>
      <c r="N25" s="41" t="inlineStr">
        <is>
          <t>CRO Sam Cessna + VP Sales (missed in first pass)</t>
        </is>
      </c>
    </row>
    <row r="26" ht="23.25" customHeight="1" s="25">
      <c r="A26" s="39" t="inlineStr">
        <is>
          <t>Instrumental</t>
        </is>
      </c>
      <c r="B26" s="45" t="inlineStr">
        <is>
          <t>Tier 2 - Fit, verify 1 item</t>
        </is>
      </c>
      <c r="C26" s="41" t="inlineStr">
        <is>
          <t>AI quality for electronics manufacturing</t>
        </is>
      </c>
      <c r="D26" s="41" t="inlineStr">
        <is>
          <t>SF Bay Area, CA</t>
        </is>
      </c>
      <c r="E26" s="41" t="inlineStr">
        <is>
          <t>75+</t>
        </is>
      </c>
      <c r="F26" s="41" t="inlineStr">
        <is>
          <t>$81.7M (Series D) + NVentures (Mar 2026)</t>
        </is>
      </c>
      <c r="G26" s="41" t="inlineStr">
        <is>
          <t>Anna-Katrina Shedletsky</t>
        </is>
      </c>
      <c r="H26" s="41" t="inlineStr">
        <is>
          <t>No CRO/VP Sales found in public sources.</t>
        </is>
      </c>
      <c r="I26" s="41" t="inlineStr">
        <is>
          <t>New NVIDIA-backed push into AI server manufacturing.</t>
        </is>
      </c>
      <c r="J26" s="41" t="inlineStr">
        <is>
          <t>Absence of a sales exec is not confirmed - check LinkedIn.</t>
        </is>
      </c>
      <c r="K26" s="41" t="inlineStr">
        <is>
          <t>https://instrumental.com/team ; https://www.fastaijobs.com/companies/instrumental</t>
        </is>
      </c>
      <c r="L26" s="42" t="inlineStr">
        <is>
          <t>Not contacted</t>
        </is>
      </c>
      <c r="M26" s="46" t="inlineStr">
        <is>
          <t>CONDITIONAL</t>
        </is>
      </c>
      <c r="N26" s="41" t="inlineStr">
        <is>
          <t>Manufacturing AI, no sales roles surfaced at all - must confirm on LinkedIn People tab</t>
        </is>
      </c>
    </row>
    <row r="27" ht="23.25" customHeight="1" s="25">
      <c r="A27" s="39" t="inlineStr">
        <is>
          <t>LandingAI</t>
        </is>
      </c>
      <c r="B27" s="45" t="inlineStr">
        <is>
          <t>Tier 2 - Fit, verify 1 item</t>
        </is>
      </c>
      <c r="C27" s="41" t="inlineStr">
        <is>
          <t>Visual AI / agentic document AI</t>
        </is>
      </c>
      <c r="D27" s="41" t="inlineStr">
        <is>
          <t>Palo Alto, CA</t>
        </is>
      </c>
      <c r="E27" s="41" t="inlineStr">
        <is>
          <t>~110</t>
        </is>
      </c>
      <c r="F27" s="41" t="inlineStr">
        <is>
          <t>-</t>
        </is>
      </c>
      <c r="G27" s="41" t="inlineStr">
        <is>
          <t>Dan Maloney (CEO); Andrew Ng (Exec Chair)</t>
        </is>
      </c>
      <c r="H27" s="41" t="inlineStr">
        <is>
          <t>No CRO/VP Sales/Head of Sales found.</t>
        </is>
      </c>
      <c r="I27" s="41" t="inlineStr">
        <is>
          <t>Brand-name founder, enterprise AE hiring.</t>
        </is>
      </c>
      <c r="J27" s="41" t="inlineStr">
        <is>
          <t>Check LinkedIn for an unannounced sales leader.</t>
        </is>
      </c>
      <c r="K27" s="41" t="inlineStr">
        <is>
          <t>https://www.choppingblock.ai/companies/landingai ; https://builtin.com/job/senior-account-executive/7630736</t>
        </is>
      </c>
      <c r="L27" s="42" t="inlineStr">
        <is>
          <t>Not contacted</t>
        </is>
      </c>
      <c r="M27" s="43" t="inlineStr">
        <is>
          <t>FAIL</t>
        </is>
      </c>
      <c r="N27" s="41" t="inlineStr">
        <is>
          <t>Horizontal AI, not industrial; Senior AEs + SEs</t>
        </is>
      </c>
    </row>
    <row r="28" ht="57" customHeight="1" s="25">
      <c r="A28" s="39" t="inlineStr">
        <is>
          <t>Keychain</t>
        </is>
      </c>
      <c r="B28" s="45" t="inlineStr">
        <is>
          <t>Tier 2 - Fit, verify 1 item</t>
        </is>
      </c>
      <c r="C28" s="41" t="inlineStr">
        <is>
          <t>AI manufacturing platform for CPG</t>
        </is>
      </c>
      <c r="D28" s="41" t="inlineStr">
        <is>
          <t>New York, NY</t>
        </is>
      </c>
      <c r="E28" s="41" t="inlineStr">
        <is>
          <t>101-200</t>
        </is>
      </c>
      <c r="F28" s="41" t="inlineStr">
        <is>
          <t>$68M</t>
        </is>
      </c>
      <c r="G28" s="41" t="inlineStr">
        <is>
          <t>Oisin Hanrahan (co-founders Umang Dua, Jordan Weitz)</t>
        </is>
      </c>
      <c r="H28" s="41" t="inlineStr">
        <is>
          <t>No CRO/VP Sales/CCO found (Head of Retail Partnerships hired).</t>
        </is>
      </c>
      <c r="I28" s="41" t="inlineStr">
        <is>
          <t>NYC; marketplace connecting brands and manufacturers.</t>
        </is>
      </c>
      <c r="J28" s="41" t="inlineStr">
        <is>
          <t>Co-founders may own sales - check.</t>
        </is>
      </c>
      <c r="K28" s="41" t="inlineStr">
        <is>
          <t>https://fortune.com/2024/11/19/keychain-series-a-15-million-general-mills-oisin-hanrahan-angis-list-cpg/ ; https://businessandfinance.com/news/business-person-of-the-month-september-2025-oisin-hanrahan-founder-ceo-of-keychain-brings-its-total-funding-to-68-million</t>
        </is>
      </c>
      <c r="L28" s="42" t="inlineStr">
        <is>
          <t>Not contacted</t>
        </is>
      </c>
      <c r="M28" s="43" t="inlineStr">
        <is>
          <t>FAIL</t>
        </is>
      </c>
      <c r="N28" s="41" t="inlineStr">
        <is>
          <t>Sector: CPG marketplace</t>
        </is>
      </c>
    </row>
    <row r="29" ht="23.25" customHeight="1" s="25">
      <c r="A29" s="39" t="inlineStr">
        <is>
          <t>Electric Era</t>
        </is>
      </c>
      <c r="B29" s="45" t="inlineStr">
        <is>
          <t>Tier 2 - Fit, verify 1 item</t>
        </is>
      </c>
      <c r="C29" s="41" t="inlineStr">
        <is>
          <t>EV fast-charging stations (B2B)</t>
        </is>
      </c>
      <c r="D29" s="41" t="inlineStr">
        <is>
          <t>Seattle, WA (verify)</t>
        </is>
      </c>
      <c r="E29" s="41" t="inlineStr">
        <is>
          <t>51-100 (sources conflict)</t>
        </is>
      </c>
      <c r="F29" s="41" t="inlineStr">
        <is>
          <t>~$37-43M</t>
        </is>
      </c>
      <c r="G29" s="41" t="inlineStr">
        <is>
          <t>-</t>
        </is>
      </c>
      <c r="H29" s="41" t="inlineStr">
        <is>
          <t>No CRO in place found; a CRO role was posted.</t>
        </is>
      </c>
      <c r="I29" s="41" t="inlineStr">
        <is>
          <t>Open CRO search (if still live) = fractional bridge pitch.</t>
        </is>
      </c>
      <c r="J29" s="41" t="inlineStr">
        <is>
          <t>CRO posting date unclear - confirm whether filled.</t>
        </is>
      </c>
      <c r="K29" s="41" t="inlineStr">
        <is>
          <t>https://revpath.dealhub.io/jobs/56304528/apply ; https://www.cbinsights.com/company/electric-era/financials</t>
        </is>
      </c>
      <c r="L29" s="42" t="inlineStr">
        <is>
          <t>Not contacted</t>
        </is>
      </c>
      <c r="M29" s="43" t="inlineStr">
        <is>
          <t>FAIL</t>
        </is>
      </c>
      <c r="N29" s="41" t="inlineStr">
        <is>
          <t>Sector: EV charging; CRO search</t>
        </is>
      </c>
    </row>
    <row r="30" ht="34.5" customHeight="1" s="25">
      <c r="A30" s="39" t="inlineStr">
        <is>
          <t>Nominal</t>
        </is>
      </c>
      <c r="B30" s="47" t="inlineStr">
        <is>
          <t>Tier 3 - Near-miss</t>
        </is>
      </c>
      <c r="C30" s="41" t="inlineStr">
        <is>
          <t>Hardware test &amp; ops software</t>
        </is>
      </c>
      <c r="D30" s="41" t="inlineStr">
        <is>
          <t>Los Angeles area, CA</t>
        </is>
      </c>
      <c r="E30" s="41" t="inlineStr">
        <is>
          <t>~258</t>
        </is>
      </c>
      <c r="F30" s="41" t="inlineStr">
        <is>
          <t>$182.5M; $1B valuation (Mar 2026)</t>
        </is>
      </c>
      <c r="G30" s="41" t="inlineStr">
        <is>
          <t>-</t>
        </is>
      </c>
      <c r="H30" s="41" t="inlineStr">
        <is>
          <t>Hiring VP of Sales to build sales 'from the ground up'; Area Directors in place.</t>
        </is>
      </c>
      <c r="I30" s="41" t="inlineStr">
        <is>
          <t>Clear leadership gap.</t>
        </is>
      </c>
      <c r="J30" s="41" t="inlineStr">
        <is>
          <t>Above size range; $1B valuation - likely wants full-time VP.</t>
        </is>
      </c>
      <c r="K30" s="41" t="inlineStr">
        <is>
          <t>https://builtin.com/job/director-sales/6896902 ; https://pulse2.com/nominal-80-million-series-b-2-at-1-billion-valuation-raised-for-hardware-engineering-platform</t>
        </is>
      </c>
      <c r="L30" s="42" t="inlineStr">
        <is>
          <t>Not contacted</t>
        </is>
      </c>
      <c r="M30" s="43" t="inlineStr">
        <is>
          <t>FAIL</t>
        </is>
      </c>
      <c r="N30" s="41" t="inlineStr">
        <is>
          <t>Area Directors + AEs + SDRs; 258 employees</t>
        </is>
      </c>
    </row>
    <row r="31" ht="23.25" customHeight="1" s="25">
      <c r="A31" s="39" t="inlineStr">
        <is>
          <t>Viam</t>
        </is>
      </c>
      <c r="B31" s="47" t="inlineStr">
        <is>
          <t>Tier 3 - Near-miss</t>
        </is>
      </c>
      <c r="C31" s="41" t="inlineStr">
        <is>
          <t>Robotics software platform</t>
        </is>
      </c>
      <c r="D31" s="41" t="inlineStr">
        <is>
          <t>New York, NY</t>
        </is>
      </c>
      <c r="E31" s="41" t="inlineStr">
        <is>
          <t>~260</t>
        </is>
      </c>
      <c r="F31" s="41" t="inlineStr">
        <is>
          <t>$117M</t>
        </is>
      </c>
      <c r="G31" s="41" t="inlineStr">
        <is>
          <t>Eliot Horowitz (verify)</t>
        </is>
      </c>
      <c r="H31" s="41" t="inlineStr">
        <is>
          <t>No CRO/VP Sales found; VP Marketing and Enterprise AEs.</t>
        </is>
      </c>
      <c r="I31" s="41" t="inlineStr">
        <is>
          <t>NYC; no sales exec.</t>
        </is>
      </c>
      <c r="J31" s="41" t="inlineStr">
        <is>
          <t>Above size range.</t>
        </is>
      </c>
      <c r="K31" s="41" t="inlineStr">
        <is>
          <t>https://builtinnyc.com/job/enterprise-account-executive/287583 ; https://www.clay.com/dossier/viam-funding</t>
        </is>
      </c>
      <c r="L31" s="42" t="inlineStr">
        <is>
          <t>Not contacted</t>
        </is>
      </c>
      <c r="M31" s="43" t="inlineStr">
        <is>
          <t>FAIL</t>
        </is>
      </c>
      <c r="N31" s="41" t="inlineStr">
        <is>
          <t>~260 employees; Enterprise AEs</t>
        </is>
      </c>
    </row>
    <row r="32" ht="15" customHeight="1" s="25">
      <c r="A32" s="39" t="inlineStr">
        <is>
          <t>Versatile</t>
        </is>
      </c>
      <c r="B32" s="47" t="inlineStr">
        <is>
          <t>Tier 3 - Near-miss</t>
        </is>
      </c>
      <c r="C32" s="41" t="inlineStr">
        <is>
          <t>Construction crane AI/IoT</t>
        </is>
      </c>
      <c r="D32" s="41" t="inlineStr">
        <is>
          <t>Los Altos, CA</t>
        </is>
      </c>
      <c r="E32" s="41" t="inlineStr">
        <is>
          <t>201-500</t>
        </is>
      </c>
      <c r="F32" s="41" t="inlineStr">
        <is>
          <t>$80M Series B</t>
        </is>
      </c>
      <c r="G32" s="41" t="inlineStr">
        <is>
          <t>Eishay Smith</t>
        </is>
      </c>
      <c r="H32" s="41" t="inlineStr">
        <is>
          <t>No CRO/VP Sales found.</t>
        </is>
      </c>
      <c r="I32" s="41" t="inlineStr">
        <is>
          <t>-</t>
        </is>
      </c>
      <c r="J32" s="41" t="inlineStr">
        <is>
          <t>Above size range.</t>
        </is>
      </c>
      <c r="K32" s="41" t="inlineStr">
        <is>
          <t>https://www.calcalistech.com/articles/0,7340,L-3917874,00.html</t>
        </is>
      </c>
      <c r="L32" s="42" t="inlineStr">
        <is>
          <t>Not contacted</t>
        </is>
      </c>
      <c r="M32" s="43" t="inlineStr">
        <is>
          <t>FAIL</t>
        </is>
      </c>
      <c r="N32" s="41" t="inlineStr">
        <is>
          <t>Construction; 201-500 employees</t>
        </is>
      </c>
    </row>
    <row r="33" ht="23.25" customHeight="1" s="25">
      <c r="A33" s="39" t="inlineStr">
        <is>
          <t>Nimble Robotics</t>
        </is>
      </c>
      <c r="B33" s="47" t="inlineStr">
        <is>
          <t>Tier 3 - Near-miss</t>
        </is>
      </c>
      <c r="C33" s="41" t="inlineStr">
        <is>
          <t>Autonomous fulfillment robotics</t>
        </is>
      </c>
      <c r="D33" s="41" t="inlineStr">
        <is>
          <t>San Francisco, CA</t>
        </is>
      </c>
      <c r="E33" s="41" t="inlineStr">
        <is>
          <t>~307</t>
        </is>
      </c>
      <c r="F33" s="41" t="inlineStr">
        <is>
          <t>$221M; $1B valuation</t>
        </is>
      </c>
      <c r="G33" s="41" t="inlineStr">
        <is>
          <t>Simon Kalouche</t>
        </is>
      </c>
      <c r="H33" s="41" t="inlineStr">
        <is>
          <t>No CRO/VP Sales/CCO found (CFO/COO in place).</t>
        </is>
      </c>
      <c r="I33" s="41" t="inlineStr">
        <is>
          <t>-</t>
        </is>
      </c>
      <c r="J33" s="41" t="inlineStr">
        <is>
          <t>Above size range.</t>
        </is>
      </c>
      <c r="K33" s="41" t="inlineStr">
        <is>
          <t>https://pulse2.com/nimble-ai-based-robotics-company-raises-106-million-series-c/</t>
        </is>
      </c>
      <c r="L33" s="42" t="inlineStr">
        <is>
          <t>Not contacted</t>
        </is>
      </c>
      <c r="M33" s="43" t="inlineStr">
        <is>
          <t>FAIL</t>
        </is>
      </c>
      <c r="N33" s="41" t="inlineStr">
        <is>
          <t>~307 employees; logistics</t>
        </is>
      </c>
    </row>
    <row r="34" ht="23.25" customHeight="1" s="25">
      <c r="A34" s="39" t="inlineStr">
        <is>
          <t>Rebar</t>
        </is>
      </c>
      <c r="B34" s="47" t="inlineStr">
        <is>
          <t>Tier 3 - Near-miss</t>
        </is>
      </c>
      <c r="C34" s="41" t="inlineStr">
        <is>
          <t>AI OS for HVAC/electrical/plumbing suppliers</t>
        </is>
      </c>
      <c r="D34" s="41" t="inlineStr">
        <is>
          <t>New York, NY</t>
        </is>
      </c>
      <c r="E34" s="41" t="inlineStr">
        <is>
          <t>~41</t>
        </is>
      </c>
      <c r="F34" s="41" t="inlineStr">
        <is>
          <t>$14M Series A (Mar 2026)</t>
        </is>
      </c>
      <c r="G34" s="41" t="inlineStr">
        <is>
          <t>Evan Brown</t>
        </is>
      </c>
      <c r="H34" s="41" t="inlineStr">
        <is>
          <t>No CRO/VP Sales found; founder-led.</t>
        </is>
      </c>
      <c r="I34" s="41" t="inlineStr">
        <is>
          <t>Fresh Series A; NYC; industrial distribution.</t>
        </is>
      </c>
      <c r="J34" s="41" t="inlineStr">
        <is>
          <t>Below 50 floor (growing).</t>
        </is>
      </c>
      <c r="K34" s="41" t="inlineStr">
        <is>
          <t>https://news.crunchbase.com/real-estate-property-tech/ai-generated-hvac-quotes-rebar-seriesa/</t>
        </is>
      </c>
      <c r="L34" s="42" t="inlineStr">
        <is>
          <t>Not contacted</t>
        </is>
      </c>
      <c r="M34" s="43" t="inlineStr">
        <is>
          <t>FAIL</t>
        </is>
      </c>
      <c r="N34" s="41" t="inlineStr">
        <is>
          <t>HVAC distribution sector; &lt;50 employees</t>
        </is>
      </c>
    </row>
    <row r="35" ht="23.25" customHeight="1" s="25">
      <c r="A35" s="39" t="inlineStr">
        <is>
          <t>Didero</t>
        </is>
      </c>
      <c r="B35" s="47" t="inlineStr">
        <is>
          <t>Tier 3 - Near-miss</t>
        </is>
      </c>
      <c r="C35" s="41" t="inlineStr">
        <is>
          <t>AI procurement agents for manufacturers</t>
        </is>
      </c>
      <c r="D35" s="41" t="inlineStr">
        <is>
          <t>New York, NY</t>
        </is>
      </c>
      <c r="E35" s="41" t="inlineStr">
        <is>
          <t>~39</t>
        </is>
      </c>
      <c r="F35" s="41" t="inlineStr">
        <is>
          <t>$30M Series A (Feb 2026)</t>
        </is>
      </c>
      <c r="G35" s="41" t="inlineStr">
        <is>
          <t>Tim Spencer</t>
        </is>
      </c>
      <c r="H35" s="41" t="inlineStr">
        <is>
          <t>No CRO/VP Sales found; hiring enterprise sales.</t>
        </is>
      </c>
      <c r="I35" s="41" t="inlineStr">
        <is>
          <t>Fresh Series A; NYC; sells to manufacturers.</t>
        </is>
      </c>
      <c r="J35" s="41" t="inlineStr">
        <is>
          <t>Below 50 floor (growing).</t>
        </is>
      </c>
      <c r="K35" s="41" t="inlineStr">
        <is>
          <t>https://www.digitalcommerce360.com/2026/02/20/didero-30-million-funding-ai-procurement/</t>
        </is>
      </c>
      <c r="L35" s="42" t="inlineStr">
        <is>
          <t>Not contacted</t>
        </is>
      </c>
      <c r="M35" s="43" t="inlineStr">
        <is>
          <t>FAIL</t>
        </is>
      </c>
      <c r="N35" s="41" t="inlineStr">
        <is>
          <t>Founding GTM Executive + Enterprise AE</t>
        </is>
      </c>
    </row>
    <row r="36" ht="34.5" customHeight="1" s="25">
      <c r="A36" s="39" t="inlineStr">
        <is>
          <t>Fox Robotics</t>
        </is>
      </c>
      <c r="B36" s="47" t="inlineStr">
        <is>
          <t>Tier 3 - Near-miss</t>
        </is>
      </c>
      <c r="C36" s="41" t="inlineStr">
        <is>
          <t>Autonomous forklifts</t>
        </is>
      </c>
      <c r="D36" s="41" t="inlineStr">
        <is>
          <t>Austin, TX</t>
        </is>
      </c>
      <c r="E36" s="41" t="inlineStr">
        <is>
          <t>~59</t>
        </is>
      </c>
      <c r="F36" s="41" t="inlineStr">
        <is>
          <t>-</t>
        </is>
      </c>
      <c r="G36" s="41" t="inlineStr">
        <is>
          <t>Marin Tchakarov</t>
        </is>
      </c>
      <c r="H36" s="41" t="inlineStr">
        <is>
          <t>No CRO/VP Sales found; Senior AEs.</t>
        </is>
      </c>
      <c r="I36" s="41" t="inlineStr">
        <is>
          <t>-</t>
        </is>
      </c>
      <c r="J36" s="41" t="inlineStr">
        <is>
          <t>Headcount appears down from ~100 - shrinking flag.</t>
        </is>
      </c>
      <c r="K36" s="41" t="inlineStr">
        <is>
          <t>https://www.supplychain247.com/article/marin_tchakarov_joins_fox_robotics_as_ceo ; https://seedtable.com/companies/fox-robotics/changelog</t>
        </is>
      </c>
      <c r="L36" s="42" t="inlineStr">
        <is>
          <t>Not contacted</t>
        </is>
      </c>
      <c r="M36" s="43" t="inlineStr">
        <is>
          <t>FAIL</t>
        </is>
      </c>
      <c r="N36" s="41" t="inlineStr">
        <is>
          <t>Shrinking headcount; logistics</t>
        </is>
      </c>
    </row>
    <row r="37" ht="23.25" customHeight="1" s="25">
      <c r="A37" s="39" t="inlineStr">
        <is>
          <t>Cobot (Collaborative Robotics)</t>
        </is>
      </c>
      <c r="B37" s="47" t="inlineStr">
        <is>
          <t>Tier 3 - Near-miss</t>
        </is>
      </c>
      <c r="C37" s="41" t="inlineStr">
        <is>
          <t>Collaborative mobile robots</t>
        </is>
      </c>
      <c r="D37" s="41" t="inlineStr">
        <is>
          <t>Santa Clara, CA</t>
        </is>
      </c>
      <c r="E37" s="41" t="inlineStr">
        <is>
          <t>-</t>
        </is>
      </c>
      <c r="F37" s="41" t="inlineStr">
        <is>
          <t>$100M Series B</t>
        </is>
      </c>
      <c r="G37" s="41" t="inlineStr">
        <is>
          <t>Brad Porter</t>
        </is>
      </c>
      <c r="H37" s="41" t="inlineStr">
        <is>
          <t>VP Sales role posted, removed Apr 2026 - probably filled.</t>
        </is>
      </c>
      <c r="I37" s="41" t="inlineStr">
        <is>
          <t>-</t>
        </is>
      </c>
      <c r="J37" s="41" t="inlineStr">
        <is>
          <t>Likely now has a VP Sales - check LinkedIn.</t>
        </is>
      </c>
      <c r="K37" s="41" t="inlineStr">
        <is>
          <t>https://builtin.com/job/vp-sales/8923650 ; https://robotics247.com/article/cobot_raises_100_million_series_b_capital</t>
        </is>
      </c>
      <c r="L37" s="42" t="inlineStr">
        <is>
          <t>Not contacted</t>
        </is>
      </c>
      <c r="M37" s="43" t="inlineStr">
        <is>
          <t>FAIL</t>
        </is>
      </c>
      <c r="N37" s="41" t="inlineStr">
        <is>
          <t>VP Sales/CRO Peter Martinez</t>
        </is>
      </c>
    </row>
    <row r="38" ht="23.25" customHeight="1" s="25">
      <c r="A38" s="39" t="inlineStr">
        <is>
          <t>Fero Labs</t>
        </is>
      </c>
      <c r="B38" s="47" t="inlineStr">
        <is>
          <t>Tier 3 - Near-miss</t>
        </is>
      </c>
      <c r="C38" s="41" t="inlineStr">
        <is>
          <t>Explainable AI for process manufacturing</t>
        </is>
      </c>
      <c r="D38" s="41" t="inlineStr">
        <is>
          <t>New York, NY</t>
        </is>
      </c>
      <c r="E38" s="41" t="inlineStr">
        <is>
          <t>~30</t>
        </is>
      </c>
      <c r="F38" s="41" t="inlineStr">
        <is>
          <t>$9M Series A</t>
        </is>
      </c>
      <c r="G38" s="41" t="inlineStr">
        <is>
          <t>Berk Birand</t>
        </is>
      </c>
      <c r="H38" s="41" t="inlineStr">
        <is>
          <t>No CRO/VP Sales found.</t>
        </is>
      </c>
      <c r="I38" s="41" t="inlineStr">
        <is>
          <t>Core niche; NYC.</t>
        </is>
      </c>
      <c r="J38" s="41" t="inlineStr">
        <is>
          <t>Below 50 floor.</t>
        </is>
      </c>
      <c r="K38" s="41" t="inlineStr">
        <is>
          <t>https://craft.co/fero-labs ; https://pitchbook.com/profiles/company/179829-73</t>
        </is>
      </c>
      <c r="L38" s="42" t="inlineStr">
        <is>
          <t>Not contacted</t>
        </is>
      </c>
      <c r="M38" s="43" t="inlineStr">
        <is>
          <t>FAIL</t>
        </is>
      </c>
      <c r="N38" s="41" t="inlineStr">
        <is>
          <t>VP Sales Steve Walsh</t>
        </is>
      </c>
    </row>
    <row r="39" ht="23.25" customHeight="1" s="25">
      <c r="A39" s="39" t="inlineStr">
        <is>
          <t>Atomic Industries</t>
        </is>
      </c>
      <c r="B39" s="47" t="inlineStr">
        <is>
          <t>Tier 3 - Near-miss</t>
        </is>
      </c>
      <c r="C39" s="41" t="inlineStr">
        <is>
          <t>AI tool &amp; die manufacturing</t>
        </is>
      </c>
      <c r="D39" s="41" t="inlineStr">
        <is>
          <t>Detroit, MI</t>
        </is>
      </c>
      <c r="E39" s="41" t="inlineStr">
        <is>
          <t>~25</t>
        </is>
      </c>
      <c r="F39" s="41" t="inlineStr">
        <is>
          <t>$25M Series A</t>
        </is>
      </c>
      <c r="G39" s="41" t="inlineStr">
        <is>
          <t>Aaron Slodov</t>
        </is>
      </c>
      <c r="H39" s="41" t="inlineStr">
        <is>
          <t>No CRO/VP Sales found.</t>
        </is>
      </c>
      <c r="I39" s="41" t="inlineStr">
        <is>
          <t>Core niche; Midwest.</t>
        </is>
      </c>
      <c r="J39" s="41" t="inlineStr">
        <is>
          <t>Below 50 floor.</t>
        </is>
      </c>
      <c r="K39" s="41" t="inlineStr">
        <is>
          <t>https://pulse2.com/atomic-industries-25-million-secured-to-advance-ai-based-manufacturing</t>
        </is>
      </c>
      <c r="L39" s="42" t="inlineStr">
        <is>
          <t>Not contacted</t>
        </is>
      </c>
      <c r="M39" s="43" t="inlineStr">
        <is>
          <t>FAIL</t>
        </is>
      </c>
      <c r="N39" s="41" t="inlineStr">
        <is>
          <t>Sales &amp; Marketing Director Greg Hamon; ~25 employees</t>
        </is>
      </c>
    </row>
    <row r="40" ht="23.25" customHeight="1" s="25">
      <c r="A40" s="39" t="inlineStr">
        <is>
          <t>Tutor Intelligence</t>
        </is>
      </c>
      <c r="B40" s="47" t="inlineStr">
        <is>
          <t>Tier 3 - Near-miss</t>
        </is>
      </c>
      <c r="C40" s="41" t="inlineStr">
        <is>
          <t>AI robots for manufacturers/co-packers</t>
        </is>
      </c>
      <c r="D40" s="41" t="inlineStr">
        <is>
          <t>Boston, MA</t>
        </is>
      </c>
      <c r="E40" s="41" t="inlineStr">
        <is>
          <t>~20</t>
        </is>
      </c>
      <c r="F40" s="41" t="inlineStr">
        <is>
          <t>$42M (Series A $34M)</t>
        </is>
      </c>
      <c r="G40" s="41" t="inlineStr">
        <is>
          <t>Josh Gruenstein</t>
        </is>
      </c>
      <c r="H40" s="41" t="inlineStr">
        <is>
          <t>No CRO/VP Sales found; mid-market + 7-figure enterprise programs.</t>
        </is>
      </c>
      <c r="I40" s="41" t="inlineStr">
        <is>
          <t>Strong revenue motion; East Coast.</t>
        </is>
      </c>
      <c r="J40" s="41" t="inlineStr">
        <is>
          <t>Below 50 floor.</t>
        </is>
      </c>
      <c r="K40" s="41" t="inlineStr">
        <is>
          <t>https://app.dealroom.co/news/feed/tutor-intelligence-raises-34m-for-ai-robots</t>
        </is>
      </c>
      <c r="L40" s="42" t="inlineStr">
        <is>
          <t>Not contacted</t>
        </is>
      </c>
      <c r="M40" s="43" t="inlineStr">
        <is>
          <t>FAIL</t>
        </is>
      </c>
      <c r="N40" s="41" t="inlineStr">
        <is>
          <t>Head of Sales Adam Lederfarb</t>
        </is>
      </c>
    </row>
    <row r="41" ht="23.25" customHeight="1" s="25">
      <c r="A41" s="39" t="inlineStr">
        <is>
          <t>Terminal Industries</t>
        </is>
      </c>
      <c r="B41" s="47" t="inlineStr">
        <is>
          <t>Tier 3 - Near-miss</t>
        </is>
      </c>
      <c r="C41" s="41" t="inlineStr">
        <is>
          <t>Yard operations AI</t>
        </is>
      </c>
      <c r="D41" s="41" t="inlineStr">
        <is>
          <t>Austin, TX</t>
        </is>
      </c>
      <c r="E41" s="41" t="inlineStr">
        <is>
          <t>~34</t>
        </is>
      </c>
      <c r="F41" s="41" t="inlineStr">
        <is>
          <t>$17-20M (Series A)</t>
        </is>
      </c>
      <c r="G41" s="41" t="inlineStr">
        <is>
          <t>Darin Brannan</t>
        </is>
      </c>
      <c r="H41" s="41" t="inlineStr">
        <is>
          <t>No CRO/VP Sales found (CMO in place).</t>
        </is>
      </c>
      <c r="I41" s="41" t="inlineStr">
        <is>
          <t>-</t>
        </is>
      </c>
      <c r="J41" s="41" t="inlineStr">
        <is>
          <t>Below 50 floor.</t>
        </is>
      </c>
      <c r="K41" s="41" t="inlineStr">
        <is>
          <t>https://betakit.com/?p=408324 ; https://getlatka.com/companies/terminal.io</t>
        </is>
      </c>
      <c r="L41" s="42" t="inlineStr">
        <is>
          <t>Not contacted</t>
        </is>
      </c>
      <c r="M41" s="43" t="inlineStr">
        <is>
          <t>FAIL</t>
        </is>
      </c>
      <c r="N41" s="41" t="inlineStr">
        <is>
          <t>Logistics; &lt;50 employees</t>
        </is>
      </c>
    </row>
  </sheetData>
  <autoFilter ref="A1:N4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60" customWidth="1" style="28" min="2" max="2"/>
  </cols>
  <sheetData>
    <row r="1" ht="15" customHeight="1" s="25">
      <c r="A1" s="48" t="inlineStr">
        <is>
          <t>Company</t>
        </is>
      </c>
      <c r="B1" s="48" t="inlineStr">
        <is>
          <t>Reason excluded</t>
        </is>
      </c>
    </row>
    <row r="2" ht="15" customHeight="1" s="25">
      <c r="A2" s="49" t="inlineStr">
        <is>
          <t>Covariant</t>
        </is>
      </c>
      <c r="B2" s="49" t="inlineStr">
        <is>
          <t>Headcount 41 and shrinking (-64% over 2 yrs)</t>
        </is>
      </c>
    </row>
    <row r="3" ht="15" customHeight="1" s="25">
      <c r="A3" s="49" t="inlineStr">
        <is>
          <t>Gather AI</t>
        </is>
      </c>
      <c r="B3" s="49" t="inlineStr">
        <is>
          <t>Head of Sales (Christopher Visnic)</t>
        </is>
      </c>
    </row>
    <row r="4" ht="15" customHeight="1" s="25">
      <c r="A4" s="49" t="inlineStr">
        <is>
          <t>Machina Labs</t>
        </is>
      </c>
      <c r="B4" s="49" t="inlineStr">
        <is>
          <t>VP Sales + Chief Business Officer</t>
        </is>
      </c>
    </row>
    <row r="5" ht="15" customHeight="1" s="25">
      <c r="A5" s="49" t="inlineStr">
        <is>
          <t>Path Robotics</t>
        </is>
      </c>
      <c r="B5" s="49" t="inlineStr">
        <is>
          <t>CRO (Heather Carroll) + VP Sales &amp; Marketing</t>
        </is>
      </c>
    </row>
    <row r="6" ht="15" customHeight="1" s="25">
      <c r="A6" s="49" t="inlineStr">
        <is>
          <t>Amper</t>
        </is>
      </c>
      <c r="B6" s="49" t="inlineStr">
        <is>
          <t>CRO (Dustin Deno)</t>
        </is>
      </c>
    </row>
    <row r="7" ht="15" customHeight="1" s="25">
      <c r="A7" s="49" t="inlineStr">
        <is>
          <t>Augmentir</t>
        </is>
      </c>
      <c r="B7" s="49" t="inlineStr">
        <is>
          <t>VP Sales</t>
        </is>
      </c>
    </row>
    <row r="8" ht="15" customHeight="1" s="25">
      <c r="A8" s="49" t="inlineStr">
        <is>
          <t>Elementary</t>
        </is>
      </c>
      <c r="B8" s="49" t="inlineStr">
        <is>
          <t>EVP Sales &amp; Marketing</t>
        </is>
      </c>
    </row>
    <row r="9" ht="15" customHeight="1" s="25">
      <c r="A9" s="49" t="inlineStr">
        <is>
          <t>Realtime Robotics</t>
        </is>
      </c>
      <c r="B9" s="49" t="inlineStr">
        <is>
          <t>CCO promoted to CEO</t>
        </is>
      </c>
    </row>
    <row r="10" ht="15" customHeight="1" s="25">
      <c r="A10" s="49" t="inlineStr">
        <is>
          <t>Pickle Robot</t>
        </is>
      </c>
      <c r="B10" s="49" t="inlineStr">
        <is>
          <t>VP Marketing &amp; Sales</t>
        </is>
      </c>
    </row>
    <row r="11" ht="15" customHeight="1" s="25">
      <c r="A11" s="49" t="inlineStr">
        <is>
          <t>Formic</t>
        </is>
      </c>
      <c r="B11" s="49" t="inlineStr">
        <is>
          <t>VP Sales</t>
        </is>
      </c>
    </row>
    <row r="12" ht="15" customHeight="1" s="25">
      <c r="A12" s="49" t="inlineStr">
        <is>
          <t>Plus One Robotics</t>
        </is>
      </c>
      <c r="B12" s="49" t="inlineStr">
        <is>
          <t>CRO + President/CCO</t>
        </is>
      </c>
    </row>
    <row r="13" ht="15" customHeight="1" s="25">
      <c r="A13" s="49" t="inlineStr">
        <is>
          <t>Ambi Robotics</t>
        </is>
      </c>
      <c r="B13" s="49" t="inlineStr">
        <is>
          <t>VP Sales</t>
        </is>
      </c>
    </row>
    <row r="14" ht="15" customHeight="1" s="25">
      <c r="A14" s="49" t="inlineStr">
        <is>
          <t>Dusty Robotics</t>
        </is>
      </c>
      <c r="B14" s="49" t="inlineStr">
        <is>
          <t>VP Sales</t>
        </is>
      </c>
    </row>
    <row r="15" ht="15" customHeight="1" s="25">
      <c r="A15" s="49" t="inlineStr">
        <is>
          <t>Basetwo</t>
        </is>
      </c>
      <c r="B15" s="49" t="inlineStr">
        <is>
          <t>Co-founder runs sales (CCO)</t>
        </is>
      </c>
    </row>
    <row r="16" ht="15" customHeight="1" s="25">
      <c r="A16" s="49" t="inlineStr">
        <is>
          <t>Arch Systems</t>
        </is>
      </c>
      <c r="B16" s="49" t="inlineStr">
        <is>
          <t>VP Global Sales</t>
        </is>
      </c>
    </row>
    <row r="17" ht="15" customHeight="1" s="25">
      <c r="A17" s="49" t="inlineStr">
        <is>
          <t>Voxel</t>
        </is>
      </c>
      <c r="B17" s="49" t="inlineStr">
        <is>
          <t>Chief Sales Officer</t>
        </is>
      </c>
    </row>
    <row r="18" ht="15" customHeight="1" s="25">
      <c r="A18" s="49" t="inlineStr">
        <is>
          <t>Sight Machine</t>
        </is>
      </c>
      <c r="B18" s="49" t="inlineStr">
        <is>
          <t>CRO</t>
        </is>
      </c>
    </row>
    <row r="19" ht="15" customHeight="1" s="25">
      <c r="A19" s="49" t="inlineStr">
        <is>
          <t>MachineMetrics</t>
        </is>
      </c>
      <c r="B19" s="49" t="inlineStr">
        <is>
          <t>CRO</t>
        </is>
      </c>
    </row>
    <row r="20" ht="15" customHeight="1" s="25">
      <c r="A20" s="49" t="inlineStr">
        <is>
          <t>HighByte</t>
        </is>
      </c>
      <c r="B20" s="49" t="inlineStr">
        <is>
          <t>VP Sales</t>
        </is>
      </c>
    </row>
    <row r="21" ht="15" customHeight="1" s="25">
      <c r="A21" s="49" t="inlineStr">
        <is>
          <t>Proton.ai</t>
        </is>
      </c>
      <c r="B21" s="49" t="inlineStr">
        <is>
          <t>CRO + VP Sales</t>
        </is>
      </c>
    </row>
    <row r="22" ht="15" customHeight="1" s="25">
      <c r="A22" s="49" t="inlineStr">
        <is>
          <t>Gridware</t>
        </is>
      </c>
      <c r="B22" s="49" t="inlineStr">
        <is>
          <t>Sales org with RevOps; CRO reported</t>
        </is>
      </c>
    </row>
    <row r="23" ht="15" customHeight="1" s="25">
      <c r="A23" s="49" t="inlineStr">
        <is>
          <t>Chef Robotics</t>
        </is>
      </c>
      <c r="B23" s="49" t="inlineStr">
        <is>
          <t>VP Sales (hired Jun 2026)</t>
        </is>
      </c>
    </row>
    <row r="24" ht="15" customHeight="1" s="25">
      <c r="A24" s="49" t="inlineStr">
        <is>
          <t>Brightpick</t>
        </is>
      </c>
      <c r="B24" s="49" t="inlineStr">
        <is>
          <t>CRO + CCO</t>
        </is>
      </c>
    </row>
    <row r="25" ht="15" customHeight="1" s="25">
      <c r="A25" s="49" t="inlineStr">
        <is>
          <t>Standard Bots</t>
        </is>
      </c>
      <c r="B25" s="49" t="inlineStr">
        <is>
          <t>CCO</t>
        </is>
      </c>
    </row>
    <row r="26" ht="15" customHeight="1" s="25">
      <c r="A26" s="49" t="inlineStr">
        <is>
          <t>Paperless Parts</t>
        </is>
      </c>
      <c r="B26" s="49" t="inlineStr">
        <is>
          <t>CRO + SVP Sales</t>
        </is>
      </c>
    </row>
    <row r="27" ht="15" customHeight="1" s="25">
      <c r="A27" s="49" t="inlineStr">
        <is>
          <t>Trunk Tools</t>
        </is>
      </c>
      <c r="B27" s="49" t="inlineStr">
        <is>
          <t>VP Sales</t>
        </is>
      </c>
    </row>
    <row r="28" ht="15" customHeight="1" s="25">
      <c r="A28" s="49" t="inlineStr">
        <is>
          <t>Doxel</t>
        </is>
      </c>
      <c r="B28" s="49" t="inlineStr">
        <is>
          <t>CRO</t>
        </is>
      </c>
    </row>
    <row r="29" ht="15" customHeight="1" s="25">
      <c r="A29" s="49" t="inlineStr">
        <is>
          <t>Carbon Robotics</t>
        </is>
      </c>
      <c r="B29" s="49" t="inlineStr">
        <is>
          <t>VP Sales</t>
        </is>
      </c>
    </row>
    <row r="30" ht="15" customHeight="1" s="25">
      <c r="A30" s="49" t="inlineStr">
        <is>
          <t>Augment</t>
        </is>
      </c>
      <c r="B30" s="49" t="inlineStr">
        <is>
          <t>CCO (Justin Hall)</t>
        </is>
      </c>
    </row>
    <row r="31" ht="15" customHeight="1" s="25">
      <c r="A31" s="49" t="inlineStr">
        <is>
          <t>Canvas</t>
        </is>
      </c>
      <c r="B31" s="49" t="inlineStr">
        <is>
          <t>CRO</t>
        </is>
      </c>
    </row>
    <row r="32" ht="15" customHeight="1" s="25">
      <c r="A32" s="49" t="inlineStr">
        <is>
          <t>Third Wave Automation</t>
        </is>
      </c>
      <c r="B32" s="49" t="inlineStr">
        <is>
          <t>VP Sales + CCO</t>
        </is>
      </c>
    </row>
    <row r="33" ht="15" customHeight="1" s="25">
      <c r="A33" s="49" t="inlineStr">
        <is>
          <t>Slip Robotics</t>
        </is>
      </c>
      <c r="B33" s="49" t="inlineStr">
        <is>
          <t>CRO + CCO</t>
        </is>
      </c>
    </row>
    <row r="34" ht="15" customHeight="1" s="25">
      <c r="A34" s="49" t="inlineStr">
        <is>
          <t>Outrider</t>
        </is>
      </c>
      <c r="B34" s="49" t="inlineStr">
        <is>
          <t>VP Sales &amp; Account Mgmt</t>
        </is>
      </c>
    </row>
    <row r="35" ht="15" customHeight="1" s="25">
      <c r="A35" s="49" t="inlineStr">
        <is>
          <t>inVia Robotics</t>
        </is>
      </c>
      <c r="B35" s="49" t="inlineStr">
        <is>
          <t>CRO</t>
        </is>
      </c>
    </row>
    <row r="36" ht="15" customHeight="1" s="25">
      <c r="A36" s="49" t="inlineStr">
        <is>
          <t>Everguard.ai</t>
        </is>
      </c>
      <c r="B36" s="49" t="inlineStr">
        <is>
          <t>CRO + SVP Sales</t>
        </is>
      </c>
    </row>
    <row r="37" ht="15" customHeight="1" s="25">
      <c r="A37" s="49" t="inlineStr">
        <is>
          <t>Sift</t>
        </is>
      </c>
      <c r="B37" s="49" t="inlineStr">
        <is>
          <t>Head of Sales</t>
        </is>
      </c>
    </row>
    <row r="38" ht="15" customHeight="1" s="25">
      <c r="A38" s="49" t="inlineStr">
        <is>
          <t>Pano AI</t>
        </is>
      </c>
      <c r="B38" s="49" t="inlineStr">
        <is>
          <t>Co-founder CCO + VP Sales</t>
        </is>
      </c>
    </row>
    <row r="39" ht="15" customHeight="1" s="25">
      <c r="A39" s="49" t="inlineStr">
        <is>
          <t>Copia Automation</t>
        </is>
      </c>
      <c r="B39" s="49" t="inlineStr">
        <is>
          <t>Head of Commercial &amp; Enterprise Sales</t>
        </is>
      </c>
    </row>
    <row r="40" ht="15" customHeight="1" s="25">
      <c r="A40" s="49" t="inlineStr">
        <is>
          <t>Corvus Robotics</t>
        </is>
      </c>
      <c r="B40" s="49" t="inlineStr">
        <is>
          <t>CRO (Jan 2026)</t>
        </is>
      </c>
    </row>
    <row r="41" ht="15" customHeight="1" s="25">
      <c r="A41" s="49" t="inlineStr">
        <is>
          <t>Glacier</t>
        </is>
      </c>
      <c r="B41" s="49" t="inlineStr">
        <is>
          <t>VP Sales</t>
        </is>
      </c>
    </row>
    <row r="42" ht="15" customHeight="1" s="25">
      <c r="A42" s="49" t="inlineStr">
        <is>
          <t>AMP Robotics</t>
        </is>
      </c>
      <c r="B42" s="49" t="inlineStr">
        <is>
          <t>CCO</t>
        </is>
      </c>
    </row>
    <row r="43" ht="15" customHeight="1" s="25">
      <c r="A43" s="49" t="inlineStr">
        <is>
          <t>Utilidata</t>
        </is>
      </c>
      <c r="B43" s="49" t="inlineStr">
        <is>
          <t>CCO + EVP Sales</t>
        </is>
      </c>
    </row>
    <row r="44" ht="15" customHeight="1" s="25">
      <c r="A44" s="49" t="inlineStr">
        <is>
          <t>Bonsai Robotics</t>
        </is>
      </c>
      <c r="B44" s="49" t="inlineStr">
        <is>
          <t>CRO + CBO</t>
        </is>
      </c>
    </row>
    <row r="45" ht="15" customHeight="1" s="25">
      <c r="A45" s="49" t="inlineStr">
        <is>
          <t>EverestLabs</t>
        </is>
      </c>
      <c r="B45" s="49" t="inlineStr">
        <is>
          <t>SVP + VP Sales</t>
        </is>
      </c>
    </row>
    <row r="46" ht="15" customHeight="1" s="25">
      <c r="A46" s="49" t="inlineStr">
        <is>
          <t>Retrocausal</t>
        </is>
      </c>
      <c r="B46" s="49" t="inlineStr">
        <is>
          <t>VP Sales + Sr Director Sales</t>
        </is>
      </c>
    </row>
    <row r="47" ht="15" customHeight="1" s="25">
      <c r="A47" s="49" t="inlineStr">
        <is>
          <t>Osaro</t>
        </is>
      </c>
      <c r="B47" s="49" t="inlineStr">
        <is>
          <t>VP Sales</t>
        </is>
      </c>
    </row>
    <row r="48" ht="15" customHeight="1" s="25">
      <c r="A48" s="49" t="inlineStr">
        <is>
          <t>SafeAI</t>
        </is>
      </c>
      <c r="B48" s="49" t="inlineStr">
        <is>
          <t>CRO</t>
        </is>
      </c>
    </row>
    <row r="49" ht="15" customHeight="1" s="25">
      <c r="A49" s="49" t="inlineStr">
        <is>
          <t>Teleo</t>
        </is>
      </c>
      <c r="B49" s="49" t="inlineStr">
        <is>
          <t>VP Sales</t>
        </is>
      </c>
    </row>
    <row r="50" ht="15" customHeight="1" s="25">
      <c r="A50" s="49" t="inlineStr">
        <is>
          <t>Lumafield</t>
        </is>
      </c>
      <c r="B50" s="49" t="inlineStr">
        <is>
          <t>Head of Revenue (ex-Xometry CRO)</t>
        </is>
      </c>
    </row>
    <row r="51" ht="15" customHeight="1" s="25">
      <c r="A51" s="49" t="inlineStr">
        <is>
          <t>Document Crunch</t>
        </is>
      </c>
      <c r="B51" s="49" t="inlineStr">
        <is>
          <t>VP Sales</t>
        </is>
      </c>
    </row>
    <row r="52" ht="15" customHeight="1" s="25">
      <c r="A52" s="49" t="inlineStr">
        <is>
          <t>Higharc</t>
        </is>
      </c>
      <c r="B52" s="49" t="inlineStr">
        <is>
          <t>VP Sales &amp; Success</t>
        </is>
      </c>
    </row>
    <row r="53" ht="15" customHeight="1" s="25">
      <c r="A53" s="49" t="inlineStr">
        <is>
          <t>Inkbit</t>
        </is>
      </c>
      <c r="B53" s="49" t="inlineStr">
        <is>
          <t>SVP Commercial</t>
        </is>
      </c>
    </row>
    <row r="54" ht="15" customHeight="1" s="25">
      <c r="A54" s="49" t="inlineStr">
        <is>
          <t>Pactum</t>
        </is>
      </c>
      <c r="B54" s="49" t="inlineStr">
        <is>
          <t>VP Sales</t>
        </is>
      </c>
    </row>
    <row r="55" ht="15" customHeight="1" s="25">
      <c r="A55" s="49" t="inlineStr">
        <is>
          <t>Slate Technologies</t>
        </is>
      </c>
      <c r="B55" s="49" t="inlineStr">
        <is>
          <t>CRO</t>
        </is>
      </c>
    </row>
    <row r="56" ht="15" customHeight="1" s="25">
      <c r="A56" s="49" t="inlineStr">
        <is>
          <t>Pallet</t>
        </is>
      </c>
      <c r="B56" s="49" t="inlineStr">
        <is>
          <t>VP Revenue</t>
        </is>
      </c>
    </row>
    <row r="57" ht="15" customHeight="1" s="25">
      <c r="A57" s="49" t="inlineStr">
        <is>
          <t>Arable</t>
        </is>
      </c>
      <c r="B57" s="49" t="inlineStr">
        <is>
          <t>Chief Business Officer</t>
        </is>
      </c>
    </row>
    <row r="58" ht="15" customHeight="1" s="25">
      <c r="A58" s="49" t="inlineStr">
        <is>
          <t>Alvys</t>
        </is>
      </c>
      <c r="B58" s="49" t="inlineStr">
        <is>
          <t>CRO</t>
        </is>
      </c>
    </row>
    <row r="59" ht="15" customHeight="1" s="25">
      <c r="A59" s="49" t="inlineStr">
        <is>
          <t>Matroid</t>
        </is>
      </c>
      <c r="B59" s="49" t="inlineStr">
        <is>
          <t>Head of Sales</t>
        </is>
      </c>
    </row>
    <row r="60" ht="15" customHeight="1" s="25">
      <c r="A60" s="49" t="inlineStr">
        <is>
          <t>Interplay Learning</t>
        </is>
      </c>
      <c r="B60" s="49" t="inlineStr">
        <is>
          <t>CRO</t>
        </is>
      </c>
    </row>
    <row r="61" ht="15" customHeight="1" s="25">
      <c r="A61" s="49" t="inlineStr">
        <is>
          <t>Nautilus Labs</t>
        </is>
      </c>
      <c r="B61" s="49" t="inlineStr">
        <is>
          <t>CCO + Global Head of Revenue</t>
        </is>
      </c>
    </row>
    <row r="62" ht="15" customHeight="1" s="25">
      <c r="A62" s="49" t="inlineStr">
        <is>
          <t>Duro</t>
        </is>
      </c>
      <c r="B62" s="49" t="inlineStr">
        <is>
          <t>VP Sales</t>
        </is>
      </c>
    </row>
    <row r="63" ht="15" customHeight="1" s="25">
      <c r="A63" s="49" t="inlineStr">
        <is>
          <t>Electrified Thermal</t>
        </is>
      </c>
      <c r="B63" s="49" t="inlineStr">
        <is>
          <t>VP Business Development</t>
        </is>
      </c>
    </row>
    <row r="64" ht="15" customHeight="1" s="25">
      <c r="A64" s="49" t="inlineStr">
        <is>
          <t>House of Design</t>
        </is>
      </c>
      <c r="B64" s="49" t="inlineStr">
        <is>
          <t>CRO + VPs Sales</t>
        </is>
      </c>
    </row>
    <row r="65" ht="15" customHeight="1" s="25">
      <c r="A65" s="49" t="inlineStr">
        <is>
          <t>Persona AI</t>
        </is>
      </c>
      <c r="B65" s="49" t="inlineStr">
        <is>
          <t>Head of Commercial Strategy</t>
        </is>
      </c>
    </row>
    <row r="66" ht="15" customHeight="1" s="25">
      <c r="A66" s="49" t="inlineStr">
        <is>
          <t>Cogniac</t>
        </is>
      </c>
      <c r="B66" s="49" t="inlineStr">
        <is>
          <t>Shrinking (64 -&gt; 42)</t>
        </is>
      </c>
    </row>
    <row r="67" ht="15" customHeight="1" s="25">
      <c r="A67" s="49" t="inlineStr">
        <is>
          <t>Kevala</t>
        </is>
      </c>
      <c r="B67" s="49" t="inlineStr">
        <is>
          <t>Shrinking (80 -&gt; 38)</t>
        </is>
      </c>
    </row>
    <row r="68" ht="15" customHeight="1" s="25">
      <c r="A68" s="49" t="inlineStr">
        <is>
          <t>Skyline Robotics</t>
        </is>
      </c>
      <c r="B68" s="49" t="inlineStr">
        <is>
          <t>Shrinking (47 -&gt; 28)</t>
        </is>
      </c>
    </row>
    <row r="69" ht="15" customHeight="1" s="25">
      <c r="A69" s="49" t="inlineStr">
        <is>
          <t>Built Robotics</t>
        </is>
      </c>
      <c r="B69" s="49" t="inlineStr">
        <is>
          <t>~40 employees</t>
        </is>
      </c>
    </row>
    <row r="70" ht="15" customHeight="1" s="25">
      <c r="A70" s="49" t="inlineStr">
        <is>
          <t>Civ Robotics</t>
        </is>
      </c>
      <c r="B70" s="49" t="inlineStr">
        <is>
          <t>~20-30 employees</t>
        </is>
      </c>
    </row>
    <row r="71" ht="15" customHeight="1" s="25">
      <c r="A71" s="49" t="inlineStr">
        <is>
          <t>Camus Energy</t>
        </is>
      </c>
      <c r="B71" s="49" t="inlineStr">
        <is>
          <t>21-50 employees, no raise since 2024</t>
        </is>
      </c>
    </row>
    <row r="72" ht="15" customHeight="1" s="25">
      <c r="A72" s="49" t="inlineStr">
        <is>
          <t>Quilter</t>
        </is>
      </c>
      <c r="B72" s="49" t="inlineStr">
        <is>
          <t>~30 employees</t>
        </is>
      </c>
    </row>
    <row r="73" ht="15" customHeight="1" s="25">
      <c r="A73" s="49" t="inlineStr">
        <is>
          <t>Cartken</t>
        </is>
      </c>
      <c r="B73" s="49" t="inlineStr">
        <is>
          <t>~31 employees</t>
        </is>
      </c>
    </row>
    <row r="74" ht="15" customHeight="1" s="25">
      <c r="A74" s="49" t="inlineStr">
        <is>
          <t>BotBuilt</t>
        </is>
      </c>
      <c r="B74" s="49" t="inlineStr">
        <is>
          <t>11-50 employees</t>
        </is>
      </c>
    </row>
    <row r="75" ht="15" customHeight="1" s="25">
      <c r="A75" s="49" t="inlineStr">
        <is>
          <t>Vayu Robotics</t>
        </is>
      </c>
      <c r="B75" s="49" t="inlineStr">
        <is>
          <t>~22 employees</t>
        </is>
      </c>
    </row>
    <row r="76" ht="15" customHeight="1" s="25">
      <c r="A76" s="49" t="inlineStr">
        <is>
          <t>Advanced Farm</t>
        </is>
      </c>
      <c r="B76" s="49" t="inlineStr">
        <is>
          <t>Out-of-business flags</t>
        </is>
      </c>
    </row>
    <row r="77" ht="15" customHeight="1" s="25">
      <c r="A77" s="49" t="inlineStr">
        <is>
          <t>FarmWise</t>
        </is>
      </c>
      <c r="B77" s="49" t="inlineStr">
        <is>
          <t>Wound down / acquired</t>
        </is>
      </c>
    </row>
    <row r="78" ht="15" customHeight="1" s="25">
      <c r="A78" s="49" t="inlineStr">
        <is>
          <t>Pronto</t>
        </is>
      </c>
      <c r="B78" s="49" t="inlineStr">
        <is>
          <t>Acquired (Atoms)</t>
        </is>
      </c>
    </row>
    <row r="79" ht="15" customHeight="1" s="25">
      <c r="A79" s="49" t="inlineStr">
        <is>
          <t>Monumental</t>
        </is>
      </c>
      <c r="B79" s="49" t="inlineStr">
        <is>
          <t>Netherlands HQ</t>
        </is>
      </c>
    </row>
    <row r="80" ht="15" customHeight="1" s="25">
      <c r="A80" s="49" t="inlineStr">
        <is>
          <t>Antora Energy</t>
        </is>
      </c>
      <c r="B80" s="49" t="inlineStr">
        <is>
          <t>$550M raise; VP Strategy &amp; Growth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5"/>
  <sheetViews>
    <sheetView workbookViewId="0">
      <selection activeCell="A1" sqref="A1"/>
    </sheetView>
  </sheetViews>
  <sheetFormatPr baseColWidth="8" defaultRowHeight="15"/>
  <cols>
    <col width="40" customWidth="1" style="25" min="1" max="1"/>
    <col width="110" customWidth="1" style="25" min="2" max="2"/>
  </cols>
  <sheetData>
    <row r="1">
      <c r="A1" s="50" t="inlineStr">
        <is>
          <t>Company</t>
        </is>
      </c>
      <c r="B1" s="50" t="inlineStr">
        <is>
          <t>Reason (from LinkedIn / employee-directory search results)</t>
        </is>
      </c>
    </row>
    <row r="2">
      <c r="A2" s="51" t="inlineStr">
        <is>
          <t>Gauss Labs</t>
        </is>
      </c>
      <c r="B2" s="27" t="inlineStr">
        <is>
          <t>Directories (rocketreach/leadiq) list Jung Lim as Head of Strategic Growth and a Business Development Manager (Hyewon Kang). That is a growth leader, so rule 4 fails. ~75 employees split between San Jose and Seoul; SK Hynix subsidiary.</t>
        </is>
      </c>
    </row>
    <row r="3">
      <c r="A3" s="51" t="inlineStr">
        <is>
          <t>XMPro</t>
        </is>
      </c>
      <c r="B3" s="27" t="inlineStr">
        <is>
          <t>Warren Jackson is Business Development Director (North America), per zoominfo/rocketreach. ~47-51 employees, Dallas HQ, Australian roots.</t>
        </is>
      </c>
    </row>
    <row r="4">
      <c r="A4" s="51" t="inlineStr">
        <is>
          <t>ThinkIQ</t>
        </is>
      </c>
      <c r="B4" s="27" t="inlineStr">
        <is>
          <t>~16 employees per theorg/leadiq, too small. Recruiting Chief Sales Officer / Head of Sales.</t>
        </is>
      </c>
    </row>
    <row r="5">
      <c r="A5" s="51" t="inlineStr">
        <is>
          <t>Aitomatic</t>
        </is>
      </c>
      <c r="B5" s="27" t="inlineStr">
        <is>
          <t>Too small (~20-30). Has an APAC business development representative.</t>
        </is>
      </c>
    </row>
    <row r="6">
      <c r="A6" s="51" t="inlineStr">
        <is>
          <t>Drishti Technologies</t>
        </is>
      </c>
      <c r="B6" s="27" t="inlineStr">
        <is>
          <t>~115 employees. Zoominfo directory lists a Director of Sales (J.F.), a Presales Director (Joe L.) and a Sales Manager. CEO Gary Jackson is a hired CEO, so sales is not founder-led.</t>
        </is>
      </c>
    </row>
    <row r="7">
      <c r="A7" s="51" t="inlineStr">
        <is>
          <t>Imubit</t>
        </is>
      </c>
      <c r="B7" s="27" t="inlineStr">
        <is>
          <t>Built-out sales org: Director of Enterprise Sales, a Gulf Coast region sales team manager, and sales/BD org-building roles.</t>
        </is>
      </c>
    </row>
    <row r="8">
      <c r="A8" s="51" t="inlineStr">
        <is>
          <t>LeanDNA</t>
        </is>
      </c>
      <c r="B8" s="27" t="inlineStr">
        <is>
          <t>Has a Chief Revenue Officer (Jim Kanir).</t>
        </is>
      </c>
    </row>
    <row r="9">
      <c r="A9" s="51" t="inlineStr">
        <is>
          <t>Petasense</t>
        </is>
      </c>
      <c r="B9" s="27" t="inlineStr">
        <is>
          <t>~21 employees, too small. Has a Senior AE and an Enterprise AE.</t>
        </is>
      </c>
    </row>
    <row r="10">
      <c r="A10" s="51" t="inlineStr">
        <is>
          <t>Nanotronics</t>
        </is>
      </c>
      <c r="B10" s="27" t="inlineStr">
        <is>
          <t>Sales Director Bill Henderson and a President (Peter Hopkins). ~60 employees.</t>
        </is>
      </c>
    </row>
    <row r="11">
      <c r="A11" s="51" t="inlineStr">
        <is>
          <t>Sepasoft</t>
        </is>
      </c>
      <c r="B11" s="27" t="inlineStr">
        <is>
          <t>~28 employees. Has a Sr. Director of Sales (Reggie Valin), an inside sales rep and an AE.</t>
        </is>
      </c>
    </row>
    <row r="12">
      <c r="A12" s="51" t="inlineStr">
        <is>
          <t>Vorne Industries</t>
        </is>
      </c>
      <c r="B12" s="27" t="inlineStr">
        <is>
          <t>~31 employees. VP Sales Adam Moran.</t>
        </is>
      </c>
    </row>
    <row r="13">
      <c r="A13" s="51" t="inlineStr">
        <is>
          <t>Element Analytics</t>
        </is>
      </c>
      <c r="B13" s="27" t="inlineStr">
        <is>
          <t>~22 employees, shrinking.</t>
        </is>
      </c>
    </row>
    <row r="14">
      <c r="A14" s="51" t="inlineStr">
        <is>
          <t>AssetWatch</t>
        </is>
      </c>
      <c r="B14" s="27" t="inlineStr">
        <is>
          <t>CRO Brian Ratliff, VP Enterprise Sales and VP Revenue Operations.</t>
        </is>
      </c>
    </row>
    <row r="15">
      <c r="A15" s="51" t="inlineStr">
        <is>
          <t>Waites</t>
        </is>
      </c>
      <c r="B15" s="27" t="inlineStr">
        <is>
          <t>Has a CRO and several VPs of Sales (Chase Chancellor, Nicholas Schaefer, Chris Sobota).</t>
        </is>
      </c>
    </row>
    <row r="16">
      <c r="A16" s="51" t="inlineStr">
        <is>
          <t>Everactive</t>
        </is>
      </c>
      <c r="B16" s="27" t="inlineStr">
        <is>
          <t>VP Sales &amp; Marketing Brian Alessi and VP Business Development John Greenfield.</t>
        </is>
      </c>
    </row>
    <row r="17">
      <c r="A17" s="51" t="inlineStr">
        <is>
          <t>KCF Technologies</t>
        </is>
      </c>
      <c r="B17" s="27" t="inlineStr">
        <is>
          <t>SVP Sales &amp; Marketing Kevin Vincent, VP Sales Tyler Vial, and a sales department of ~23.</t>
        </is>
      </c>
    </row>
    <row r="18">
      <c r="A18" s="51" t="inlineStr">
        <is>
          <t>Neurala</t>
        </is>
      </c>
      <c r="B18" s="27" t="inlineStr">
        <is>
          <t>~29-32 employees, too small and shrinking.</t>
        </is>
      </c>
    </row>
    <row r="19">
      <c r="A19" s="51" t="inlineStr">
        <is>
          <t>Lincode Labs</t>
        </is>
      </c>
      <c r="B19" s="27" t="inlineStr">
        <is>
          <t>Global Director of Sales Matt Mansour.</t>
        </is>
      </c>
    </row>
    <row r="20">
      <c r="A20" s="51" t="inlineStr">
        <is>
          <t>Motivo</t>
        </is>
      </c>
      <c r="B20" s="27" t="inlineStr">
        <is>
          <t>~12 employees. Has a VP of Sales.</t>
        </is>
      </c>
    </row>
    <row r="21">
      <c r="A21" s="51" t="inlineStr">
        <is>
          <t>Glimpse</t>
        </is>
      </c>
      <c r="B21" s="27" t="inlineStr">
        <is>
          <t>VP of Sales Jeffrey Spiro and a sales team of ~10 (AE, SDR, sales manager).</t>
        </is>
      </c>
    </row>
    <row r="22">
      <c r="A22" s="51" t="inlineStr">
        <is>
          <t>Apprentice.io (Tempo)</t>
        </is>
      </c>
      <c r="B22" s="27" t="inlineStr">
        <is>
          <t>Has a Chief Revenue Officer on its leadership team per theorg.</t>
        </is>
      </c>
    </row>
    <row r="23">
      <c r="A23" s="51" t="inlineStr">
        <is>
          <t>QbDVision</t>
        </is>
      </c>
      <c r="B23" s="27" t="inlineStr">
        <is>
          <t>Chief Business Officer (M.S.) on the leadership team. ~66 employees.</t>
        </is>
      </c>
    </row>
    <row r="24">
      <c r="A24" s="51" t="inlineStr">
        <is>
          <t>Dyndrite</t>
        </is>
      </c>
      <c r="B24" s="27" t="inlineStr">
        <is>
          <t>VPs of Sales (Michael Humphrey, Anthony Graves) and VP Business Development Stephen Anderson.</t>
        </is>
      </c>
    </row>
    <row r="25">
      <c r="A25" s="51" t="inlineStr">
        <is>
          <t>Steelhead Technologies</t>
        </is>
      </c>
      <c r="B25" s="27" t="inlineStr">
        <is>
          <t>VP of Sales, a Head of Business Development, AEs and ~23 people in sales.</t>
        </is>
      </c>
    </row>
    <row r="26">
      <c r="A26" s="51" t="inlineStr">
        <is>
          <t>Canary Labs</t>
        </is>
      </c>
      <c r="B26" s="27" t="inlineStr">
        <is>
          <t>Director of Sales Michael Hayden, Director of Business Development, and a President with a commercial role.</t>
        </is>
      </c>
    </row>
    <row r="27">
      <c r="A27" s="51" t="inlineStr">
        <is>
          <t>dataPARC (Capstone Technology)</t>
        </is>
      </c>
      <c r="B27" s="27" t="inlineStr">
        <is>
          <t>Director of Sales - Americas Alex Tate, plus a sales manager.</t>
        </is>
      </c>
    </row>
    <row r="28">
      <c r="A28" s="51" t="inlineStr">
        <is>
          <t>Flutura</t>
        </is>
      </c>
      <c r="B28" s="27" t="inlineStr">
        <is>
          <t>Acquired by Accenture and India HQ. Had a CRO and a VP Solution Sales.</t>
        </is>
      </c>
    </row>
    <row r="29">
      <c r="A29" s="51" t="inlineStr">
        <is>
          <t>Entytle</t>
        </is>
      </c>
      <c r="B29" s="27" t="inlineStr">
        <is>
          <t>No usable evidence found. Not verified, so not passed.</t>
        </is>
      </c>
    </row>
    <row r="30">
      <c r="A30" s="51" t="inlineStr">
        <is>
          <t>Harmoni</t>
        </is>
      </c>
      <c r="B30" s="27" t="inlineStr">
        <is>
          <t>~21 employees, too small. Series A Sept 2026.</t>
        </is>
      </c>
    </row>
    <row r="31">
      <c r="A31" s="51" t="inlineStr">
        <is>
          <t>Leucine</t>
        </is>
      </c>
      <c r="B31" s="27" t="inlineStr">
        <is>
          <t>HQ and team mostly in India. Has a Business Head (Sumanth Chinta) and Enterprise AEs.</t>
        </is>
      </c>
    </row>
    <row r="32">
      <c r="A32" s="51" t="inlineStr">
        <is>
          <t>Akridata</t>
        </is>
      </c>
      <c r="B32" s="27" t="inlineStr">
        <is>
          <t>Director of Sales Dylan Fouts, VP Technical Sales, and a BD manager.</t>
        </is>
      </c>
    </row>
    <row r="33">
      <c r="A33" s="51" t="inlineStr">
        <is>
          <t>Relimetrics</t>
        </is>
      </c>
      <c r="B33" s="27" t="inlineStr">
        <is>
          <t>~13 employees. VP of Sales Mark Micnik.</t>
        </is>
      </c>
    </row>
    <row r="34">
      <c r="A34" s="51" t="inlineStr">
        <is>
          <t>UptimeAI</t>
        </is>
      </c>
      <c r="B34" s="27" t="inlineStr">
        <is>
          <t>Several Sales Directors, Head of Sales APAC, VP GTM, Sr Director RevOps and a BDR.</t>
        </is>
      </c>
    </row>
    <row r="35">
      <c r="A35" s="51" t="inlineStr">
        <is>
          <t>DIMAAG-AI</t>
        </is>
      </c>
      <c r="B35" s="27" t="inlineStr">
        <is>
          <t>Chief Commercial Officer Deepak Pingalay and VP Business Development Sadha Kameswaran. Also does EV powertrain work.</t>
        </is>
      </c>
    </row>
    <row r="36">
      <c r="A36" s="51" t="inlineStr">
        <is>
          <t>Mariner (Spyglass)</t>
        </is>
      </c>
      <c r="B36" s="27" t="inlineStr">
        <is>
          <t>VP of Business Development (William Burnham, Donald Dudley).</t>
        </is>
      </c>
    </row>
    <row r="37">
      <c r="A37" s="51" t="inlineStr">
        <is>
          <t>Net-Inspect</t>
        </is>
      </c>
      <c r="B37" s="27" t="inlineStr">
        <is>
          <t>~23 employees. Directors of Sales &amp; Marketing.</t>
        </is>
      </c>
    </row>
    <row r="38">
      <c r="A38" s="51" t="inlineStr">
        <is>
          <t>ProShop ERP</t>
        </is>
      </c>
      <c r="B38" s="27" t="inlineStr">
        <is>
          <t>VP Sales George Hogan, Director of BD, and a 27-person sales department with an SDR team.</t>
        </is>
      </c>
    </row>
    <row r="39">
      <c r="A39" s="51" t="inlineStr">
        <is>
          <t>Fulcrum Pro</t>
        </is>
      </c>
      <c r="B39" s="27" t="inlineStr">
        <is>
          <t>Has a sales development team and sales department (~81 employees), so not founder-led.</t>
        </is>
      </c>
    </row>
    <row r="40">
      <c r="A40" s="51" t="inlineStr">
        <is>
          <t>L2L (Leading2Lean)</t>
        </is>
      </c>
      <c r="B40" s="27" t="inlineStr">
        <is>
          <t>CRO Ryan Burke and a VP Sales.</t>
        </is>
      </c>
    </row>
    <row r="41">
      <c r="A41" s="51" t="inlineStr">
        <is>
          <t>Dozuki</t>
        </is>
      </c>
      <c r="B41" s="27" t="inlineStr">
        <is>
          <t>SVP of Sales Kevin Gay and public-sector AEs.</t>
        </is>
      </c>
    </row>
    <row r="42">
      <c r="A42" s="51" t="inlineStr">
        <is>
          <t>Losant</t>
        </is>
      </c>
      <c r="B42" s="27" t="inlineStr">
        <is>
          <t>Acquired by SUSE in Feb 2026. ~6-18 employees. Has a Director of Business Development.</t>
        </is>
      </c>
    </row>
    <row r="43">
      <c r="A43" s="51" t="inlineStr">
        <is>
          <t>ClearBlade</t>
        </is>
      </c>
      <c r="B43" s="27" t="inlineStr">
        <is>
          <t>VP of Sales John Jenkins.</t>
        </is>
      </c>
    </row>
    <row r="44">
      <c r="A44" s="51" t="inlineStr">
        <is>
          <t>Voltaiq</t>
        </is>
      </c>
      <c r="B44" s="27" t="inlineStr">
        <is>
          <t>~30 employees, too small.</t>
        </is>
      </c>
    </row>
    <row r="45">
      <c r="A45" s="51" t="inlineStr">
        <is>
          <t>Exosite</t>
        </is>
      </c>
      <c r="B45" s="27" t="inlineStr">
        <is>
          <t>History of VP Sales and a built sales org. Shrunken.</t>
        </is>
      </c>
    </row>
    <row r="46">
      <c r="A46" s="51" t="inlineStr">
        <is>
          <t>iBase-t</t>
        </is>
      </c>
      <c r="B46" s="27" t="inlineStr">
        <is>
          <t>CRO Sebastian Grady and a VP Global Sales.</t>
        </is>
      </c>
    </row>
    <row r="47">
      <c r="A47" s="51" t="inlineStr">
        <is>
          <t>Aegis Software</t>
        </is>
      </c>
      <c r="B47" s="27" t="inlineStr">
        <is>
          <t>Global VP Sales Paul Price and an 18-person sales department.</t>
        </is>
      </c>
    </row>
    <row r="48">
      <c r="A48" s="51" t="inlineStr">
        <is>
          <t>Parsec Automation</t>
        </is>
      </c>
      <c r="B48" s="27" t="inlineStr">
        <is>
          <t>EVP Global Sales Chris Jones, VP Business Development and a Director of Sales Ops.</t>
        </is>
      </c>
    </row>
    <row r="49">
      <c r="A49" s="51" t="inlineStr">
        <is>
          <t>Taqtile</t>
        </is>
      </c>
      <c r="B49" s="27" t="inlineStr">
        <is>
          <t>VP North American Sales Joe Clukey.</t>
        </is>
      </c>
    </row>
    <row r="50">
      <c r="A50" s="51" t="inlineStr">
        <is>
          <t>Scope AR</t>
        </is>
      </c>
      <c r="B50" s="27" t="inlineStr">
        <is>
          <t>Head of Business Development David Nedohin and a Director of Sales &amp; Solutions.</t>
        </is>
      </c>
    </row>
    <row r="51">
      <c r="A51" s="51" t="inlineStr">
        <is>
          <t>Simio</t>
        </is>
      </c>
      <c r="B51" s="27" t="inlineStr">
        <is>
          <t>VP Global Sales Dan Vasalani. Hired CEO, so not founder-led.</t>
        </is>
      </c>
    </row>
    <row r="52">
      <c r="A52" s="51" t="inlineStr">
        <is>
          <t>FlexSim</t>
        </is>
      </c>
      <c r="B52" s="27" t="inlineStr">
        <is>
          <t>Integrated into Autodesk. Has a Director of Marketing &amp; BD.</t>
        </is>
      </c>
    </row>
    <row r="53">
      <c r="A53" s="51" t="inlineStr">
        <is>
          <t>Leela AI</t>
        </is>
      </c>
      <c r="B53" s="27" t="inlineStr">
        <is>
          <t>~21 employees, too small.</t>
        </is>
      </c>
    </row>
    <row r="54">
      <c r="A54" s="51" t="inlineStr">
        <is>
          <t>Ease.io</t>
        </is>
      </c>
      <c r="B54" s="27" t="inlineStr">
        <is>
          <t>CRO Russell Mullin and VP Sales Dennis Cook.</t>
        </is>
      </c>
    </row>
    <row r="55">
      <c r="A55" s="51" t="inlineStr">
        <is>
          <t>Cofactr</t>
        </is>
      </c>
      <c r="B55" s="27" t="inlineStr">
        <is>
          <t>VP Sales Robert Segal, VP BD Edward Dodd and a Director of Sales. Also supply-chain sector.</t>
        </is>
      </c>
    </row>
    <row r="56">
      <c r="A56" s="51" t="inlineStr">
        <is>
          <t>Flux.ai</t>
        </is>
      </c>
      <c r="B56" s="27" t="inlineStr">
        <is>
          <t>Product-led growth PCB design tool for engineers with no enterprise sales motion. Hiring a Head of Revenue/Growth for self-serve. Not factory software.</t>
        </is>
      </c>
    </row>
    <row r="57">
      <c r="A57" s="51" t="inlineStr">
        <is>
          <t>Toric</t>
        </is>
      </c>
      <c r="B57" s="27" t="inlineStr">
        <is>
          <t>Construction data sector. ~33 employees.</t>
        </is>
      </c>
    </row>
    <row r="58">
      <c r="A58" s="51" t="inlineStr">
        <is>
          <t>Trener Robotics (formerly T-Robotics)</t>
        </is>
      </c>
      <c r="B58" s="27" t="inlineStr">
        <is>
          <t>VP of Sales Jacob Pascual Pape, Sales Director John Marioni, Channel Sales Manager Lincoln Frazier (LinkedIn)</t>
        </is>
      </c>
    </row>
    <row r="59">
      <c r="A59" s="51" t="inlineStr">
        <is>
          <t>Hirebotics</t>
        </is>
      </c>
      <c r="B59" s="27" t="inlineStr">
        <is>
          <t>VP of Sales Tate Allen plus an SDR (Gaurav Shetty) (LinkedIn)</t>
        </is>
      </c>
    </row>
    <row r="60">
      <c r="A60" s="51" t="inlineStr">
        <is>
          <t>Vectis Automation</t>
        </is>
      </c>
      <c r="B60" s="27" t="inlineStr">
        <is>
          <t>Co-founder Josh Pawley is VP Business Development; also has a regional manager and account managers</t>
        </is>
      </c>
    </row>
    <row r="61">
      <c r="A61" s="51" t="inlineStr">
        <is>
          <t>Productive Robotics</t>
        </is>
      </c>
      <c r="B61" s="27" t="inlineStr">
        <is>
          <t>Has a Vice President (Jacob Beahan), sales/BD staff and a head of international sales; likely under 50 employees</t>
        </is>
      </c>
    </row>
    <row r="62">
      <c r="A62" s="51" t="inlineStr">
        <is>
          <t>Flexxbotics</t>
        </is>
      </c>
      <c r="B62" s="27" t="inlineStr">
        <is>
          <t>About 15 employees (ZoomInfo); Director of Sales Alex Vogt (RocketReach)</t>
        </is>
      </c>
    </row>
    <row r="63">
      <c r="A63" s="51" t="inlineStr">
        <is>
          <t>Jacobi Robotics</t>
        </is>
      </c>
      <c r="B63" s="27" t="inlineStr">
        <is>
          <t>2-10 employees</t>
        </is>
      </c>
    </row>
    <row r="64">
      <c r="A64" s="51" t="inlineStr">
        <is>
          <t>Mantis Robotics</t>
        </is>
      </c>
      <c r="B64" s="27" t="inlineStr">
        <is>
          <t>11-50 employees</t>
        </is>
      </c>
    </row>
    <row r="65">
      <c r="A65" s="51" t="inlineStr">
        <is>
          <t>Wilder Systems</t>
        </is>
      </c>
      <c r="B65" s="27" t="inlineStr">
        <is>
          <t>11-50 employees; aerospace/defense RaaS; VP/GM in place</t>
        </is>
      </c>
    </row>
    <row r="66">
      <c r="A66" s="51" t="inlineStr">
        <is>
          <t>Palladyne AI (ex-Sarcos)</t>
        </is>
      </c>
      <c r="B66" s="27" t="inlineStr">
        <is>
          <t>Chief Commercial Officer Kristi Martindale; defense-heavy</t>
        </is>
      </c>
    </row>
    <row r="67">
      <c r="A67" s="51" t="inlineStr">
        <is>
          <t>Liberty Reach / Liberty Robotics</t>
        </is>
      </c>
      <c r="B67" s="27" t="inlineStr">
        <is>
          <t>VP Business Development David Holmes; key account sales staff</t>
        </is>
      </c>
    </row>
    <row r="68">
      <c r="A68" s="51" t="inlineStr">
        <is>
          <t>Daedalus</t>
        </is>
      </c>
      <c r="B68" s="27" t="inlineStr">
        <is>
          <t>HQ Karlsruhe, Germany; had an interim Head of Sales</t>
        </is>
      </c>
    </row>
    <row r="69">
      <c r="A69" s="51" t="inlineStr">
        <is>
          <t>Glimpse (battery CT inspection)</t>
        </is>
      </c>
      <c r="B69" s="27" t="inlineStr">
        <is>
          <t>VP of Sales Jeffrey Spiro</t>
        </is>
      </c>
    </row>
    <row r="70">
      <c r="A70" s="51" t="inlineStr">
        <is>
          <t>Soft Robotics</t>
        </is>
      </c>
      <c r="B70" s="27" t="inlineStr">
        <is>
          <t>Director of Business Development Mike Welborn; now focused on food automation</t>
        </is>
      </c>
    </row>
    <row r="71">
      <c r="A71" s="51" t="inlineStr">
        <is>
          <t>Averroes.ai</t>
        </is>
      </c>
      <c r="B71" s="27" t="inlineStr">
        <is>
          <t>11-50 employees; semiconductor inspection</t>
        </is>
      </c>
    </row>
    <row r="72">
      <c r="A72" s="51" t="inlineStr">
        <is>
          <t>ABAGY Robotic Systems</t>
        </is>
      </c>
      <c r="B72" s="27" t="inlineStr">
        <is>
          <t>CRO David Suttle, VP Sales &amp; BD Antonina Bondareva, Director of BD Randy Friedlander</t>
        </is>
      </c>
    </row>
    <row r="73">
      <c r="A73" s="51" t="inlineStr">
        <is>
          <t>RobCo</t>
        </is>
      </c>
      <c r="B73" s="27" t="inlineStr">
        <is>
          <t>German-origin with a large sales/pre-sales org (Lead BD Franziska Herrmann, Head of Concept Engineering leading pre-sales)</t>
        </is>
      </c>
    </row>
    <row r="74">
      <c r="A74" s="51" t="inlineStr">
        <is>
          <t>Rapid Robotics</t>
        </is>
      </c>
      <c r="B74" s="27" t="inlineStr">
        <is>
          <t>Shrinking; history of Director of BD and a VP BD req; GTM/RevOps staff</t>
        </is>
      </c>
    </row>
    <row r="75">
      <c r="A75" s="51" t="inlineStr">
        <is>
          <t>Drishti</t>
        </is>
      </c>
      <c r="B75" s="27" t="inlineStr">
        <is>
          <t>Director of Sales listed in a directory; video analytics rather than robotics; partly India-based</t>
        </is>
      </c>
    </row>
    <row r="76">
      <c r="A76" s="51" t="inlineStr">
        <is>
          <t>CarbonSix</t>
        </is>
      </c>
      <c r="B76" s="27" t="inlineStr">
        <is>
          <t>Too small (1-10 per ZoomInfo); team largely in Korea</t>
        </is>
      </c>
    </row>
    <row r="77">
      <c r="A77" s="51" t="inlineStr">
        <is>
          <t>3D Infotech</t>
        </is>
      </c>
      <c r="B77" s="27" t="inlineStr">
        <is>
          <t>National Sales Director Kirk Dennis</t>
        </is>
      </c>
    </row>
    <row r="78">
      <c r="A78" s="51" t="inlineStr">
        <is>
          <t>PushCorp</t>
        </is>
      </c>
      <c r="B78" s="27" t="inlineStr">
        <is>
          <t>Under 50 employees with several sales engineers and a Michigan sales office</t>
        </is>
      </c>
    </row>
    <row r="79">
      <c r="A79" s="51" t="inlineStr">
        <is>
          <t>SoftWear Automation</t>
        </is>
      </c>
      <c r="B79" s="27" t="inlineStr">
        <is>
          <t>Chief Commercial Officer (Jacob Fueston per SignalHire; others listed) and a President of International Business; about 48 employees</t>
        </is>
      </c>
    </row>
    <row r="80">
      <c r="A80" s="51" t="inlineStr">
        <is>
          <t>GelSight</t>
        </is>
      </c>
      <c r="B80" s="27" t="inlineStr">
        <is>
          <t>VP of Global Sales Thierry Mantel; Chief Business Officer Dennis Lang</t>
        </is>
      </c>
    </row>
    <row r="81">
      <c r="A81" s="51" t="inlineStr">
        <is>
          <t>Foundation (Foundation Future Industries)</t>
        </is>
      </c>
      <c r="B81" s="27" t="inlineStr">
        <is>
          <t>General-purpose and military humanoids; defense sector</t>
        </is>
      </c>
    </row>
    <row r="82">
      <c r="A82" s="51" t="inlineStr">
        <is>
          <t>Reflex Robotics</t>
        </is>
      </c>
      <c r="B82" s="27" t="inlineStr">
        <is>
          <t>2-10 employees</t>
        </is>
      </c>
    </row>
    <row r="83">
      <c r="A83" s="51" t="inlineStr">
        <is>
          <t>Arris Composites</t>
        </is>
      </c>
      <c r="B83" s="27" t="inlineStr">
        <is>
          <t>VP Business Development role</t>
        </is>
      </c>
    </row>
    <row r="84">
      <c r="A84" s="51" t="inlineStr">
        <is>
          <t>Mantle</t>
        </is>
      </c>
      <c r="B84" s="27" t="inlineStr">
        <is>
          <t>Sales Director Michael Skaja; BDR hiring; previously had a VP Sales</t>
        </is>
      </c>
    </row>
    <row r="85">
      <c r="A85" s="51" t="inlineStr">
        <is>
          <t>FORT Robotics</t>
        </is>
      </c>
      <c r="B85" s="27" t="inlineStr">
        <is>
          <t>CRO Andrei Resmerita, VP BD Doug Riffle, VP Sales Austin Blais</t>
        </is>
      </c>
    </row>
    <row r="86">
      <c r="A86" s="51" t="inlineStr">
        <is>
          <t>WorkFar Robotics</t>
        </is>
      </c>
      <c r="B86" s="27" t="inlineStr">
        <is>
          <t>About 2 employees per RocketReach; unclear US operations</t>
        </is>
      </c>
    </row>
    <row r="87">
      <c r="A87" s="51" t="inlineStr">
        <is>
          <t>Industrial Next</t>
        </is>
      </c>
      <c r="B87" s="27" t="inlineStr">
        <is>
          <t>About 11 employees</t>
        </is>
      </c>
    </row>
    <row r="88">
      <c r="A88" s="51" t="inlineStr">
        <is>
          <t>Workr Labs</t>
        </is>
      </c>
      <c r="B88" s="27" t="inlineStr">
        <is>
          <t>About 8-10 employees</t>
        </is>
      </c>
    </row>
    <row r="89">
      <c r="A89" s="51" t="inlineStr">
        <is>
          <t>TerraFirma</t>
        </is>
      </c>
      <c r="B89" s="27" t="inlineStr">
        <is>
          <t>Construction robotics (auto-fail sector)</t>
        </is>
      </c>
    </row>
    <row r="90">
      <c r="A90" s="51" t="inlineStr">
        <is>
          <t>Alloy Enterprises</t>
        </is>
      </c>
      <c r="B90" s="27" t="inlineStr">
        <is>
          <t>VP Sales &amp; Marketing Jim Golden; AE Stephen Jackson</t>
        </is>
      </c>
    </row>
    <row r="91">
      <c r="A91" s="51" t="inlineStr">
        <is>
          <t>Fabric8Labs</t>
        </is>
      </c>
      <c r="B91" s="27" t="inlineStr">
        <is>
          <t>VP Commercialization Michael Matthews; acquired by TDK</t>
        </is>
      </c>
    </row>
    <row r="92">
      <c r="A92" s="51" t="inlineStr">
        <is>
          <t>Carnegie Robotics</t>
        </is>
      </c>
      <c r="B92" s="27" t="inlineStr">
        <is>
          <t>Chief Development Officer Mike Embrescia; VP Revenue Operations Brian Leininger</t>
        </is>
      </c>
    </row>
    <row r="93">
      <c r="A93" s="51" t="inlineStr">
        <is>
          <t>RIOS Intelligent Machines</t>
        </is>
      </c>
      <c r="B93" s="27" t="inlineStr">
        <is>
          <t>Two VPs of Business Development; company is winding down</t>
        </is>
      </c>
    </row>
    <row r="94">
      <c r="A94" s="51" t="inlineStr">
        <is>
          <t>Southie Autonomy</t>
        </is>
      </c>
      <c r="B94" s="27" t="inlineStr">
        <is>
          <t>11-50 employees; has a sales/BD person</t>
        </is>
      </c>
    </row>
    <row r="95">
      <c r="A95" s="51" t="inlineStr">
        <is>
          <t>Genesis AI</t>
        </is>
      </c>
      <c r="B95" s="27" t="inlineStr">
        <is>
          <t>VP of Commercial &amp; Strategy Vivian Sun; general-purpose robotics (horizontal)</t>
        </is>
      </c>
    </row>
    <row r="96">
      <c r="A96" s="51" t="inlineStr">
        <is>
          <t>Seurat Technologies</t>
        </is>
      </c>
      <c r="B96" s="27" t="inlineStr">
        <is>
          <t>Director of Market Development plus an Associate Director of Sales req; headcount sources vary from 105 to 160, possibly shrinking</t>
        </is>
      </c>
    </row>
    <row r="97">
      <c r="A97" s="51" t="inlineStr">
        <is>
          <t>Continuous Composites</t>
        </is>
      </c>
      <c r="B97" s="27" t="inlineStr">
        <is>
          <t>CRO Steve Starner, Sales Director, Director of BD, Director of A&amp;D Sales</t>
        </is>
      </c>
    </row>
    <row r="98">
      <c r="A98" s="51" t="inlineStr">
        <is>
          <t>Orbital Composites</t>
        </is>
      </c>
      <c r="B98" s="27" t="inlineStr">
        <is>
          <t>Defense/space-focused and likely under 50 employees</t>
        </is>
      </c>
    </row>
    <row r="99">
      <c r="A99" s="51" t="inlineStr">
        <is>
          <t>Rise Robotics</t>
        </is>
      </c>
      <c r="B99" s="27" t="inlineStr">
        <is>
          <t>Construction/heavy-machinery actuators (auto-fail sector); hiring a BD manager; under 50 employees</t>
        </is>
      </c>
    </row>
    <row r="100">
      <c r="A100" s="51" t="inlineStr">
        <is>
          <t>ARIX Technologies</t>
        </is>
      </c>
      <c r="B100" s="27" t="inlineStr">
        <is>
          <t>SVP Global Sales Joe Bourgeois; petrochemical pipe inspection (energy-adjacent)</t>
        </is>
      </c>
    </row>
    <row r="101">
      <c r="A101" s="51" t="inlineStr">
        <is>
          <t>RoboForce</t>
        </is>
      </c>
      <c r="B101" s="27" t="inlineStr">
        <is>
          <t>Head of Business Development Nikhil Dhongade; 11-50 employees</t>
        </is>
      </c>
    </row>
    <row r="102">
      <c r="A102" s="51" t="inlineStr">
        <is>
          <t>Mantle (SF, metal 3D printing for tooling)</t>
        </is>
      </c>
      <c r="B102" s="27" t="inlineStr">
        <is>
          <t>VP of Sales Dana McCallum and Senior Director of Sales Travis Buckingham (LinkedIn), and hiring BDRs and a BD manager</t>
        </is>
      </c>
    </row>
    <row r="103">
      <c r="A103" s="51" t="inlineStr">
        <is>
          <t>Alloy Enterprises (Burlington MA, aluminum additive)</t>
        </is>
      </c>
      <c r="B103" s="27" t="inlineStr">
        <is>
          <t>VP Sales &amp; Marketing Jim Golden plus 2+ regional Account Executives (LinkedIn)</t>
        </is>
      </c>
    </row>
    <row r="104">
      <c r="A104" s="51" t="inlineStr">
        <is>
          <t>OSH Cut (Orem UT, software-defined sheet metal)</t>
        </is>
      </c>
      <c r="B104" s="27" t="inlineStr">
        <is>
          <t>About 11-50 employees on LinkedIn, below the 50 minimum</t>
        </is>
      </c>
    </row>
    <row r="105">
      <c r="A105" s="51" t="inlineStr">
        <is>
          <t>Cofactr (electronics supply chain/PCBA procurement)</t>
        </is>
      </c>
      <c r="B105" s="27" t="inlineStr">
        <is>
          <t>Director of Sales Nino Hardin, a sales leader (Robert Segal), and AE/SDR/GTM job reqs</t>
        </is>
      </c>
    </row>
    <row r="106">
      <c r="A106" s="51" t="inlineStr">
        <is>
          <t>Dyndrite (Seattle, AM software)</t>
        </is>
      </c>
      <c r="B106" s="27" t="inlineStr">
        <is>
          <t>VP of Sales Anthony Graves (LinkedIn)</t>
        </is>
      </c>
    </row>
    <row r="107">
      <c r="A107" s="51" t="inlineStr">
        <is>
          <t>Uniformity Labs (Fremont, AM powders)</t>
        </is>
      </c>
      <c r="B107" s="27" t="inlineStr">
        <is>
          <t>Director of Sales Terry Cambron (ZoomInfo/RocketReach); 11-50 employees</t>
        </is>
      </c>
    </row>
    <row r="108">
      <c r="A108" s="51" t="inlineStr">
        <is>
          <t>Fortify (Boston, composite 3D printing)</t>
        </is>
      </c>
      <c r="B108" s="27" t="inlineStr">
        <is>
          <t>Had a Director of Sales, a Director of RF BD and a Sales Manager in 2022-23 (ZoomInfo). Current team and headcount trend could not be verified, so not passed</t>
        </is>
      </c>
    </row>
    <row r="109">
      <c r="A109" s="51" t="inlineStr">
        <is>
          <t>Seurat Technologies (Wilmington MA, area-printing metal AM parts)</t>
        </is>
      </c>
      <c r="B109" s="27" t="inlineStr">
        <is>
          <t>Borderline, dropped. About 105-160 employees and the co-founder CEO (James DeMuth) leads, but John Rushton is Director of Market Development (RocketReach), effectively a BD director title. Worth a manual look if that title is judged non-sales</t>
        </is>
      </c>
    </row>
    <row r="110">
      <c r="A110" s="51" t="inlineStr">
        <is>
          <t>Continuous Composites (Idaho)</t>
        </is>
      </c>
      <c r="B110" s="27" t="inlineStr">
        <is>
          <t>CEO also holds the CRO title; Sales Director Josh Randles, a Director of BD, a Director of A&amp;D Sales, and an open VP Sales req</t>
        </is>
      </c>
    </row>
    <row r="111">
      <c r="A111" s="51" t="inlineStr">
        <is>
          <t>ARRIS Composites (Berkeley)</t>
        </is>
      </c>
      <c r="B111" s="27" t="inlineStr">
        <is>
          <t>Director, Aerospace &amp; Defense (Melissa Lavey) and VP Marketing (Elizabeth Griffin-Isabelle). Has a commercial structure, so not passed</t>
        </is>
      </c>
    </row>
    <row r="112">
      <c r="A112" s="51" t="inlineStr">
        <is>
          <t>Rangeview (LA, AI-driven foundry)</t>
        </is>
      </c>
      <c r="B112" s="27" t="inlineStr">
        <is>
          <t>About 37 employees (RocketReach); also a Director of Partnerships</t>
        </is>
      </c>
    </row>
    <row r="113">
      <c r="A113" s="51" t="inlineStr">
        <is>
          <t>Firestorm Labs (drone manufacturing)</t>
        </is>
      </c>
      <c r="B113" s="27" t="inlineStr">
        <is>
          <t>Co-founder and CGO Chad McCoy, a Director of Strategic Partnerships and a BD team; also defense-focused</t>
        </is>
      </c>
    </row>
    <row r="114">
      <c r="A114" s="51" t="inlineStr">
        <is>
          <t>Fabric8Labs (San Diego, electrochemical AM)</t>
        </is>
      </c>
      <c r="B114" s="27" t="inlineStr">
        <is>
          <t>VP Commercialization Michael Matthews; being acquired by TDK</t>
        </is>
      </c>
    </row>
    <row r="115">
      <c r="A115" s="51" t="inlineStr">
        <is>
          <t>Atomic Machines (Emeryville, micro-manufacturing)</t>
        </is>
      </c>
      <c r="B115" s="27" t="inlineStr">
        <is>
          <t>VP Go-To-Market Stephen Drinan (theorg.com)</t>
        </is>
      </c>
    </row>
    <row r="116">
      <c r="A116" s="51" t="inlineStr">
        <is>
          <t>VulcanForms (Burlington MA)</t>
        </is>
      </c>
      <c r="B116" s="27" t="inlineStr">
        <is>
          <t>VP of Business Development Danielle Wilkerson, and hiring sales reps</t>
        </is>
      </c>
    </row>
    <row r="117">
      <c r="A117" s="51" t="inlineStr">
        <is>
          <t>Elementum 3D (Erie CO, AM alloys)</t>
        </is>
      </c>
      <c r="B117" s="27" t="inlineStr">
        <is>
          <t>Sales team on theorg: Sales Manager, National Account Manager, Account Executive and sales reps</t>
        </is>
      </c>
    </row>
    <row r="118">
      <c r="A118" s="51" t="inlineStr">
        <is>
          <t>MacroFab (Houston, PCBA)</t>
        </is>
      </c>
      <c r="B118" s="27" t="inlineStr">
        <is>
          <t>Account sales team led by Seth Waschitz, plus AE hiring and a VP Marketing</t>
        </is>
      </c>
    </row>
    <row r="119">
      <c r="A119" s="51" t="inlineStr">
        <is>
          <t>Zeda (Fremont, medical/tech AM)</t>
        </is>
      </c>
      <c r="B119" s="27" t="inlineStr">
        <is>
          <t>Unverified. Acquired an orthopaedic implant company, which usually brings a sales force. Sales roles could not be confirmed, so not passed</t>
        </is>
      </c>
    </row>
    <row r="120">
      <c r="A120" s="51" t="inlineStr">
        <is>
          <t>Nanotronics (Brooklyn, AI inspection)</t>
        </is>
      </c>
      <c r="B120" s="27" t="inlineStr">
        <is>
          <t>Sales Director Bill Henderson and a President, Peter Hopkins</t>
        </is>
      </c>
    </row>
    <row r="121">
      <c r="A121" s="51" t="inlineStr">
        <is>
          <t>Boston Micro Fabrication (BMF)</t>
        </is>
      </c>
      <c r="B121" s="27" t="inlineStr">
        <is>
          <t>Director of Sales North America E.J. Nordstrom, plus a sales engineer and channel sales</t>
        </is>
      </c>
    </row>
    <row r="122">
      <c r="A122" s="51" t="inlineStr">
        <is>
          <t>Phoenix Tailings (Burlington MA, metals)</t>
        </is>
      </c>
      <c r="B122" s="27" t="inlineStr">
        <is>
          <t>Co-founder and VP of Partnerships Anthony Balladon (commercial co-founder); mining/metals sector is borderline</t>
        </is>
      </c>
    </row>
    <row r="123">
      <c r="A123" s="51" t="inlineStr">
        <is>
          <t>Orbital Composites (Campbell CA)</t>
        </is>
      </c>
      <c r="B123" s="27" t="inlineStr">
        <is>
          <t>About 10-25 employees (ZoomInfo/RocketReach), below the 50 minimum</t>
        </is>
      </c>
    </row>
    <row r="124">
      <c r="A124" s="51" t="inlineStr">
        <is>
          <t>Backflip AI (scan-to-CAD)</t>
        </is>
      </c>
      <c r="B124" s="27" t="inlineStr">
        <is>
          <t>Head of Sales Ken Clayton, Sales Leads Page Buckman and Liroy Ozinci, and AE hiring</t>
        </is>
      </c>
    </row>
    <row r="125">
      <c r="A125" s="51" t="inlineStr">
        <is>
          <t>Steelhead Technologies (MES for finishing shops)</t>
        </is>
      </c>
      <c r="B125" s="27" t="inlineStr">
        <is>
          <t>Has a CRO (BDR Manager job reports to the CRO), plus Account Executives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2026-10-07T11:20:37Z</dcterms:created>
  <dcterms:modified xmlns:dcterms="http://purl.org/dc/terms/" xmlns:xsi="http://www.w3.org/2001/XMLSchema-instance" xsi:type="dcterms:W3CDTF">2026-10-07T12:24:16Z</dcterms:modified>
  <cp:revision>0</cp:revision>
</cp:coreProperties>
</file>