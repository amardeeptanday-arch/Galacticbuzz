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rgets" sheetId="2" state="visible" r:id="rId4"/>
    <sheet name="Screened Out" sheetId="3" state="visible" r:id="rId5"/>
  </sheets>
  <definedNames>
    <definedName function="false" hidden="true" localSheetId="1" name="_xlnm._FilterDatabase" vbProcedure="false">Targets!$A$1:$L$41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<sst xmlns="http://schemas.openxmlformats.org/spreadsheetml/2006/main" count="676" uniqueCount="523">
  <si>
    <t xml:space="preserve">Colin (Starmay Ventures) - Fractional CRO Target List</t>
  </si>
  <si>
    <t xml:space="preserve">Prepared by Galacticbuzz, 7 Oct 2026. Research from public web sources (job boards, funding news, data aggregators).</t>
  </si>
  <si>
    <t xml:space="preserve">Tier</t>
  </si>
  <si>
    <t xml:space="preserve">Count</t>
  </si>
  <si>
    <t xml:space="preserve">Tier 1 - Strong fit</t>
  </si>
  <si>
    <t xml:space="preserve">Tier 2 - Fit, verify 1 item</t>
  </si>
  <si>
    <t xml:space="preserve">Tier 3 - Near-miss</t>
  </si>
  <si>
    <t xml:space="preserve">Total</t>
  </si>
  <si>
    <t xml:space="preserve">Companies screened out</t>
  </si>
  <si>
    <t xml:space="preserve">Criteria applied</t>
  </si>
  <si>
    <t xml:space="preserve">1. No CRO, VP Sales, Head of Sales, CCO, CBO or co-founder explicitly running sales found in public sources.</t>
  </si>
  <si>
    <t xml:space="preserve">2. 50+ employees (Tier 3 includes near-misses just below or above range).</t>
  </si>
  <si>
    <t xml:space="preserve">3. Headcount stable or growing (shrinking companies excluded, per the Covariant lesson).</t>
  </si>
  <si>
    <t xml:space="preserve">4. B2B with a sales motion Colin can build: industrial AI, robotics, manufacturing, energy, construction, logistics.</t>
  </si>
  <si>
    <t xml:space="preserve">5. US-based (or US HQ).</t>
  </si>
  <si>
    <t xml:space="preserve">Tier meanings</t>
  </si>
  <si>
    <t xml:space="preserve">Tier 1 - Strong fit: all criteria met; several are actively recruiting a first sales leader (pitch Colin as fractional/interim while they search).</t>
  </si>
  <si>
    <t xml:space="preserve">Tier 2 - Fit, verify 1 item: meets criteria but one point needs a quick LinkedIn check (see 'Verify before outreach').</t>
  </si>
  <si>
    <t xml:space="preserve">Tier 3 - Near-miss: no sales leader, but outside the 50-250 headcount band or a role may have been filled.</t>
  </si>
  <si>
    <t xml:space="preserve">Limitations</t>
  </si>
  <si>
    <t xml:space="preserve">- LinkedIn/Sales Navigator and company team pages could not be loaded directly from this environment; checks rely on search results, job posts and press releases.</t>
  </si>
  <si>
    <t xml:space="preserve">- 'No sales leader found' means none surfaced publicly - confirm on LinkedIn (People tab, filter titles: CRO, VP Sales, Head of Sales, CCO) before outreach.</t>
  </si>
  <si>
    <t xml:space="preserve">- Headcounts are third-party estimates and often conflict; ranges are shown.</t>
  </si>
  <si>
    <t xml:space="preserve">- Names marked '(verify)' were not confirmed in this research pass.</t>
  </si>
  <si>
    <t xml:space="preserve">Company</t>
  </si>
  <si>
    <t xml:space="preserve">Segment</t>
  </si>
  <si>
    <t xml:space="preserve">HQ</t>
  </si>
  <si>
    <t xml:space="preserve">Headcount (est.)</t>
  </si>
  <si>
    <t xml:space="preserve">Funding</t>
  </si>
  <si>
    <t xml:space="preserve">CEO / Founder</t>
  </si>
  <si>
    <t xml:space="preserve">Sales-leadership check</t>
  </si>
  <si>
    <t xml:space="preserve">Why now / signal</t>
  </si>
  <si>
    <t xml:space="preserve">Verify before outreach</t>
  </si>
  <si>
    <t xml:space="preserve">Sources</t>
  </si>
  <si>
    <t xml:space="preserve">Outreach status</t>
  </si>
  <si>
    <t xml:space="preserve">Burro</t>
  </si>
  <si>
    <t xml:space="preserve">Ag / logistics robotics</t>
  </si>
  <si>
    <t xml:space="preserve">Philadelphia, PA</t>
  </si>
  <si>
    <t xml:space="preserve">44-70</t>
  </si>
  <si>
    <t xml:space="preserve">$45M+ (Series B $24M)</t>
  </si>
  <si>
    <t xml:space="preserve">Charlie Andersen (verify)</t>
  </si>
  <si>
    <t xml:space="preserve">No CRO/VP Sales found. CRO role posted Jan 2026 ($550-600k + equity); no hire announced.</t>
  </si>
  <si>
    <t xml:space="preserve">Actively searching for a CRO - pitch Colin as interim/fractional CRO while the search runs.</t>
  </si>
  <si>
    <t xml:space="preserve">Confirm CRO req is still open.</t>
  </si>
  <si>
    <t xml:space="preserve">https://jobs.lever.co/Burro/036fc36f-a113-45de-a8e7-e6b3b8a90326 ; https://technical.ly/startups/robotics-philadelphia-burro-series-b-raise</t>
  </si>
  <si>
    <t xml:space="preserve">Not contacted</t>
  </si>
  <si>
    <t xml:space="preserve">First Resonance</t>
  </si>
  <si>
    <t xml:space="preserve">Factory OS / manufacturing software</t>
  </si>
  <si>
    <t xml:space="preserve">Los Angeles, CA</t>
  </si>
  <si>
    <t xml:space="preserve">~64</t>
  </si>
  <si>
    <t xml:space="preserve">~$32M Series A (Jan 2025)</t>
  </si>
  <si>
    <t xml:space="preserve">Karan Talati</t>
  </si>
  <si>
    <t xml:space="preserve">No CRO/VP Sales found. Recruiting a VP Revenue / VP Sales; no hire announced.</t>
  </si>
  <si>
    <t xml:space="preserve">Open VP Revenue search = clear gap; fractional bridge pitch.</t>
  </si>
  <si>
    <t xml:space="preserve">Confirm VP Revenue req still open.</t>
  </si>
  <si>
    <t xml:space="preserve">https://www.builtinla.com/job/vp-revenue/4823382 ; https://www.hirebase.org/company/first-resonance/jobs/vp-revenue-1</t>
  </si>
  <si>
    <t xml:space="preserve">Overview.ai</t>
  </si>
  <si>
    <t xml:space="preserve">Industrial machine vision / QA</t>
  </si>
  <si>
    <t xml:space="preserve">SF Bay Area, CA</t>
  </si>
  <si>
    <t xml:space="preserve">$13.3M (Series A)</t>
  </si>
  <si>
    <t xml:space="preserve">Founder-led (a founder is acting Head of Revenue)</t>
  </si>
  <si>
    <t xml:space="preserve">Founder runs revenue ($0 -&gt; $20M). VP Sales role posted; no hire announced.</t>
  </si>
  <si>
    <t xml:space="preserve">Founder-led sales hitting a ceiling at $20M; building first sales org.</t>
  </si>
  <si>
    <t xml:space="preserve">Confirm VP Sales req still open; confirm founder name.</t>
  </si>
  <si>
    <t xml:space="preserve">https://www.builtinsf.com/job/vp-sales/11056189</t>
  </si>
  <si>
    <t xml:space="preserve">HappyRobot</t>
  </si>
  <si>
    <t xml:space="preserve">AI agents for logistics/supply chain</t>
  </si>
  <si>
    <t xml:space="preserve">San Francisco, CA</t>
  </si>
  <si>
    <t xml:space="preserve">~63</t>
  </si>
  <si>
    <t xml:space="preserve">$44M Series B (Sep 2025; Base10, a16z)</t>
  </si>
  <si>
    <t xml:space="preserve">Pablo Palafox (co-founder)</t>
  </si>
  <si>
    <t xml:space="preserve">Only a Head of Growth found. Hiring VP Regional Sales; no CRO/VP Sales in place.</t>
  </si>
  <si>
    <t xml:space="preserve">Fresh Series B earmarked for GTM; building sales leadership now.</t>
  </si>
  <si>
    <t xml:space="preserve">Confirm no VP Sales hired since posting.</t>
  </si>
  <si>
    <t xml:space="preserve">https://www.wilmerhale.com/en/insights/news/20250904-happyrobot-secures-44m-in-series-b-funding ; https://www.builtinnyc.com/company/happyrobot/jobs</t>
  </si>
  <si>
    <t xml:space="preserve">Togal.AI</t>
  </si>
  <si>
    <t xml:space="preserve">Construction AI (takeoff/estimating)</t>
  </si>
  <si>
    <t xml:space="preserve">Miami, FL</t>
  </si>
  <si>
    <t xml:space="preserve">~54 (plans +100 hires in 2026)</t>
  </si>
  <si>
    <t xml:space="preserve">$7-17.5M</t>
  </si>
  <si>
    <t xml:space="preserve">Patrick Murphy (verify)</t>
  </si>
  <si>
    <t xml:space="preserve">No CRO/VP Sales/Head of Sales found. Hiring Director of Revenue (RevOps).</t>
  </si>
  <si>
    <t xml:space="preserve">ARR up &gt;1,000% (Jan 2024-Dec 2025) and doubling headcount - sales engine needs structure.</t>
  </si>
  <si>
    <t xml:space="preserve">Confirm CEO name and that no VP Sales was hired.</t>
  </si>
  <si>
    <t xml:space="preserve">https://refreshmiami.com/news/8-things-to-know-in-miamitech-togal-ai-plans-hiring-spree-in-2026-plus-news-from-vitalis-ventures-pairsoft-space-florida-xpoint-pillar-security-ace-padel-boats-group-more/ ; https://www.builtinla.com/job/director-revenue/9584227</t>
  </si>
  <si>
    <t xml:space="preserve">Squint</t>
  </si>
  <si>
    <t xml:space="preserve">AR / AI for manufacturing frontline</t>
  </si>
  <si>
    <t xml:space="preserve">US (verify HQ)</t>
  </si>
  <si>
    <t xml:space="preserve">60-105 (most sources 70-82)</t>
  </si>
  <si>
    <t xml:space="preserve">$40M at $265M valuation (Aug 2025)</t>
  </si>
  <si>
    <t xml:space="preserve">Devin Bhushan</t>
  </si>
  <si>
    <t xml:space="preserve">No CRO/VP Sales/Head of Sales found. Hiring Director of Enterprise Sales (incl. Utilities).</t>
  </si>
  <si>
    <t xml:space="preserve">Building first enterprise sales layer under the founder.</t>
  </si>
  <si>
    <t xml:space="preserve">Confirm HQ.</t>
  </si>
  <si>
    <t xml:space="preserve">https://fortune.com/2025/08/12/exclusive-squint-raises-40-million-at-265-million-valuation-to-modernize-manufacturing-for-companies-like-pepsi-and-michelin ; https://www.purpose.jobs/discover/companies/squint-2/jobs/60675705-director-of-enterprise-sales</t>
  </si>
  <si>
    <t xml:space="preserve">Guidewheel</t>
  </si>
  <si>
    <t xml:space="preserve">Factory monitoring / manufacturing AI</t>
  </si>
  <si>
    <t xml:space="preserve">~97</t>
  </si>
  <si>
    <t xml:space="preserve">$40M (Series B $31M, Aug 2024)</t>
  </si>
  <si>
    <t xml:space="preserve">Lauren Dunford</t>
  </si>
  <si>
    <t xml:space="preserve">No CRO/VP Sales/Head of Sales found. Hiring AEs.</t>
  </si>
  <si>
    <t xml:space="preserve">Core industrial-AI niche; founder-led with AE hiring.</t>
  </si>
  <si>
    <t xml:space="preserve">-</t>
  </si>
  <si>
    <t xml:space="preserve">https://getlatka.com/companies/guidewheel ; https://startup.jobs/account-executive-guidewheel-7222872</t>
  </si>
  <si>
    <t xml:space="preserve">GrayMatter Robotics</t>
  </si>
  <si>
    <t xml:space="preserve">AI robotics for high-mix manufacturing</t>
  </si>
  <si>
    <t xml:space="preserve">Los Angeles area, CA</t>
  </si>
  <si>
    <t xml:space="preserve">75-124</t>
  </si>
  <si>
    <t xml:space="preserve">$71M (Series B $45M, 2024)</t>
  </si>
  <si>
    <t xml:space="preserve">Ariyan Kabir</t>
  </si>
  <si>
    <t xml:space="preserve">No CRO/VP Sales/Head of Sales found. Hiring AEs and Key Account Managers.</t>
  </si>
  <si>
    <t xml:space="preserve">Core industrial-AI niche; sales team forming without a leader.</t>
  </si>
  <si>
    <t xml:space="preserve">https://www.builtinchicago.org/company/graymatter-robotics/faq/leadership-management ; https://builtinla.com/job/account-executive/174832</t>
  </si>
  <si>
    <t xml:space="preserve">Mytra</t>
  </si>
  <si>
    <t xml:space="preserve">Warehouse storage robotics</t>
  </si>
  <si>
    <t xml:space="preserve">South San Francisco, CA</t>
  </si>
  <si>
    <t xml:space="preserve">~147 (+274% since 2023)</t>
  </si>
  <si>
    <t xml:space="preserve">$198M (Series C $120M, Jan 2026)</t>
  </si>
  <si>
    <t xml:space="preserve">Chris Walti</t>
  </si>
  <si>
    <t xml:space="preserve">No CRO/VP Sales found. Hiring Director of Business Development.</t>
  </si>
  <si>
    <t xml:space="preserve">Fast growth after Series C, Fortune 100 customers - needs a revenue engine.</t>
  </si>
  <si>
    <t xml:space="preserve">Well funded - may prefer a full-time hire; pitch as bridge.</t>
  </si>
  <si>
    <t xml:space="preserve">https://www.reveliolabs.com/companies/mytra/employees ; https://app.welcometothejungle.com/jobs/Cp9vfLv5/company</t>
  </si>
  <si>
    <t xml:space="preserve">Freeform</t>
  </si>
  <si>
    <t xml:space="preserve">AI-driven metal 3D printing</t>
  </si>
  <si>
    <t xml:space="preserve">21-100 (+57% YoY)</t>
  </si>
  <si>
    <t xml:space="preserve">$67M Series B (Feb 2026)</t>
  </si>
  <si>
    <t xml:space="preserve">Erik Palitsch (co-founder)</t>
  </si>
  <si>
    <t xml:space="preserve">No CRO/VP Sales found; only a Technical Sales Director role.</t>
  </si>
  <si>
    <t xml:space="preserve">New Series B and rapid hiring; commercial org still IC-level.</t>
  </si>
  <si>
    <t xml:space="preserve">Confirm current headcount is 50+.</t>
  </si>
  <si>
    <t xml:space="preserve">https://techcrunch.com/2026/02/19/freeform-raises-67m-series-b-to-scale-up-laser-ai-manufacturing/ ; https://jobs.spacetalent.org/companies/freeform-2/jobs/65202912-technical-sales-director</t>
  </si>
  <si>
    <t xml:space="preserve">Senra Systems</t>
  </si>
  <si>
    <t xml:space="preserve">Software-driven wire harness manufacturing</t>
  </si>
  <si>
    <t xml:space="preserve">65+</t>
  </si>
  <si>
    <t xml:space="preserve">$112M (Series B $65M, Jul 2026)</t>
  </si>
  <si>
    <t xml:space="preserve">Jordan Black (founder)</t>
  </si>
  <si>
    <t xml:space="preserve">No CRO/VP Sales/Head of Sales found (CTO/CPO and CFO hired, no sales exec).</t>
  </si>
  <si>
    <t xml:space="preserve">Just raised and opening 3rd factory - capacity to sell, no sales leader.</t>
  </si>
  <si>
    <t xml:space="preserve">https://pulse2.com/senra-systems-announces-65-million-series-b-and-plans-for-third-manufacturing-facility/</t>
  </si>
  <si>
    <t xml:space="preserve">Robust.AI</t>
  </si>
  <si>
    <t xml:space="preserve">Collaborative warehouse robots</t>
  </si>
  <si>
    <t xml:space="preserve">66-76</t>
  </si>
  <si>
    <t xml:space="preserve">~$42.5M; $15.4M revenue (2025)</t>
  </si>
  <si>
    <t xml:space="preserve">Anthony Jules (co-founder; Rodney Brooks CTO)</t>
  </si>
  <si>
    <t xml:space="preserve">No CRO/VP Sales found. Hiring Strategic Sales Director and AEs.</t>
  </si>
  <si>
    <t xml:space="preserve">Revenue-generating, DHL alliance; scaling sales without an exec.</t>
  </si>
  <si>
    <t xml:space="preserve">https://app.welcometothejungle.com/jobs/HmKfGJUZ/company ; https://getlatka.com/companies/robust.ai</t>
  </si>
  <si>
    <t xml:space="preserve">UnitX</t>
  </si>
  <si>
    <t xml:space="preserve">AI visual inspection for manufacturing</t>
  </si>
  <si>
    <t xml:space="preserve">~106 (+48% since 2023)</t>
  </si>
  <si>
    <t xml:space="preserve">$106M (Series B $46M, Nov 2024)</t>
  </si>
  <si>
    <t xml:space="preserve">Keven Wang (co-founder)</t>
  </si>
  <si>
    <t xml:space="preserve">No CRO/VP Sales found. Highest sales title: Director of North American Sales; some roles report to CEO.</t>
  </si>
  <si>
    <t xml:space="preserve">Core industrial-AI niche; growing, sales led by a director.</t>
  </si>
  <si>
    <t xml:space="preserve">https://www.reveliolabs.com/companies/unitx/employees ; https://builtin.com/job/account-executive/7319735</t>
  </si>
  <si>
    <t xml:space="preserve">Reframe Systems</t>
  </si>
  <si>
    <t xml:space="preserve">Robotic microfactories for housing</t>
  </si>
  <si>
    <t xml:space="preserve">Andover, MA</t>
  </si>
  <si>
    <t xml:space="preserve">~67</t>
  </si>
  <si>
    <t xml:space="preserve">$40M Series B</t>
  </si>
  <si>
    <t xml:space="preserve">Vikas Enti (ex-Amazon Robotics)</t>
  </si>
  <si>
    <t xml:space="preserve">No CRO/VP Sales/Head of Sales found.</t>
  </si>
  <si>
    <t xml:space="preserve">Scaling factories after Series B; East Coast (Colin's time zone).</t>
  </si>
  <si>
    <t xml:space="preserve">https://www.therobotreport.com/reframe-systems-raises-40m-scale-robotic-microfactories-home-building/ ; https://rocketlist.ai/companies/reframe-systems</t>
  </si>
  <si>
    <t xml:space="preserve">Overstory</t>
  </si>
  <si>
    <t xml:space="preserve">Vegetation/wildfire AI for utilities</t>
  </si>
  <si>
    <t xml:space="preserve">Boston, MA (US HQ) / Amsterdam</t>
  </si>
  <si>
    <t xml:space="preserve">80+</t>
  </si>
  <si>
    <t xml:space="preserve">$43M Series B (Nov 2025)</t>
  </si>
  <si>
    <t xml:space="preserve">Co-founders; Anniek Schouten COO</t>
  </si>
  <si>
    <t xml:space="preserve">No CRO/VP Sales found. Hiring RevOps manager and VP Marketing.</t>
  </si>
  <si>
    <t xml:space="preserve">Series B for US expansion; building GTM infrastructure.</t>
  </si>
  <si>
    <t xml:space="preserve">Confirm CEO name.</t>
  </si>
  <si>
    <t xml:space="preserve">https://www.esgtoday.com/overstory-raises-43-million-to-help-utilities-avoid-wildfires-with-ai/ ; https://builtin.com/job/senior-manager-revenue-operations/7765978</t>
  </si>
  <si>
    <t xml:space="preserve">Verdant Robotics</t>
  </si>
  <si>
    <t xml:space="preserve">Ag robotics (precision spraying)</t>
  </si>
  <si>
    <t xml:space="preserve">Hayward, CA</t>
  </si>
  <si>
    <t xml:space="preserve">~105 (sources vary)</t>
  </si>
  <si>
    <t xml:space="preserve">~$58M; later-stage round Jan 2026</t>
  </si>
  <si>
    <t xml:space="preserve">Gabe Sibley (verify)</t>
  </si>
  <si>
    <t xml:space="preserve">No CRO/VP Sales found. Hiring Director of Sales and Area Sales Managers.</t>
  </si>
  <si>
    <t xml:space="preserve">New funding in 2026; dealer + direct sales motion being built.</t>
  </si>
  <si>
    <t xml:space="preserve">Headcount sources conflict (11-50 vs ~105).</t>
  </si>
  <si>
    <t xml:space="preserve">https://jobs.dcvc.com/companies/verdant-robotics/jobs/32840749-director-of-sales ; https://www.premieralts.com/companies/verdant-robotics/funding-history</t>
  </si>
  <si>
    <t xml:space="preserve">Exowatt</t>
  </si>
  <si>
    <t xml:space="preserve">Dispatchable solar/thermal energy for data centers</t>
  </si>
  <si>
    <t xml:space="preserve">47-94</t>
  </si>
  <si>
    <t xml:space="preserve">~$105-140M (Series A $70M)</t>
  </si>
  <si>
    <t xml:space="preserve">Hannan Happi (verify)</t>
  </si>
  <si>
    <t xml:space="preserve">No CRO/VP Sales found. Hiring a Go-to-Market Lead reporting to the CEO.</t>
  </si>
  <si>
    <t xml:space="preserve">CEO-led GTM, building commercial engine now.</t>
  </si>
  <si>
    <t xml:space="preserve">https://jobs.mcj.vc/companies/exowatt-2/jobs/60837627-go-to-market-lead ; https://businesswire.com/news/home/20260205790214/en/Exowatt-Scales-Executive-Team-to-Meet-AIs-Surging-Energy-Demand-with-Dispatchable-Solar</t>
  </si>
  <si>
    <t xml:space="preserve">Hyphen</t>
  </si>
  <si>
    <t xml:space="preserve">Automated meal-production robotics</t>
  </si>
  <si>
    <t xml:space="preserve">San Jose, CA</t>
  </si>
  <si>
    <t xml:space="preserve">~120</t>
  </si>
  <si>
    <t xml:space="preserve">$25M Series B (Aug 2025, CAVA)</t>
  </si>
  <si>
    <t xml:space="preserve">Stephen Klein</t>
  </si>
  <si>
    <t xml:space="preserve">Post-Series B scaling to restaurant chains (B2B enterprise sale).</t>
  </si>
  <si>
    <t xml:space="preserve">https://pulse2.com/hyphen-25-million-series-b/ ; https://agfundernews.com/meet-the-founder-hyphens-stephen-klein-on-humbling-startup-experiences-pandemic-pivots-and-why-you-dont-need-a-robotic-sledgehammer-to-crack-a-nut</t>
  </si>
  <si>
    <t xml:space="preserve">Phaidra</t>
  </si>
  <si>
    <t xml:space="preserve">Industrial AI control (energy/data centers)</t>
  </si>
  <si>
    <t xml:space="preserve">Seattle, WA</t>
  </si>
  <si>
    <t xml:space="preserve">~91 (job posts +127% in 2026)</t>
  </si>
  <si>
    <t xml:space="preserve">$80.5M (Series B $50M, Oct 2025)</t>
  </si>
  <si>
    <t xml:space="preserve">Jim Gao</t>
  </si>
  <si>
    <t xml:space="preserve">No CRO/VP Sales/CCO found.</t>
  </si>
  <si>
    <t xml:space="preserve">Growing fast post-Series B; core industrial-AI niche.</t>
  </si>
  <si>
    <t xml:space="preserve">President &amp; Chief Strategy Officer Robert Locke (ex-Johnson Controls) may own commercial.</t>
  </si>
  <si>
    <t xml:space="preserve">https://www.geekwire.com/2022/seattle-startup-building-industrial-ai-tools-raises-25m-from-deepmind-co-founder-others/ ; https://seedtable.com/companies/phaidra</t>
  </si>
  <si>
    <t xml:space="preserve">Bedrock Robotics</t>
  </si>
  <si>
    <t xml:space="preserve">Autonomous construction equipment</t>
  </si>
  <si>
    <t xml:space="preserve">98 -&gt; 149 during 2026</t>
  </si>
  <si>
    <t xml:space="preserve">$270M Series B at $1.75B</t>
  </si>
  <si>
    <t xml:space="preserve">Boris Sofman</t>
  </si>
  <si>
    <t xml:space="preserve">No CRO/VP Sales/Head of Sales found (COO in place).</t>
  </si>
  <si>
    <t xml:space="preserve">Hyper-growth, no sales exec.</t>
  </si>
  <si>
    <t xml:space="preserve">Very well funded - may only want a full-time exec.</t>
  </si>
  <si>
    <t xml:space="preserve">https://pulse2.com/bedrock-robotics-270-million-series-b-at-1-75-billion-valuation/amp/ ; https://www.tipranks.com/private-companies/pc:bedro</t>
  </si>
  <si>
    <t xml:space="preserve">Agtonomy</t>
  </si>
  <si>
    <t xml:space="preserve">Autonomous tractors / ag automation</t>
  </si>
  <si>
    <t xml:space="preserve">California (verify)</t>
  </si>
  <si>
    <t xml:space="preserve">51-100</t>
  </si>
  <si>
    <t xml:space="preserve">$73M (Series B $18M, Oct 2025)</t>
  </si>
  <si>
    <t xml:space="preserve">Tim Bucher (verify)</t>
  </si>
  <si>
    <t xml:space="preserve">No CRO/VP Sales found.</t>
  </si>
  <si>
    <t xml:space="preserve">Paid pilots converting to revenue.</t>
  </si>
  <si>
    <t xml:space="preserve">A VP Business Development &amp; Marketing role was posted (2024) - check if filled.</t>
  </si>
  <si>
    <t xml:space="preserve">https://jobs.toyota.ventures/companies/agtonomy/jobs/41163999-vp-of-business-development-and-marketing ; https://www.vcbacked.co/company/agtonomy</t>
  </si>
  <si>
    <t xml:space="preserve">ISEE</t>
  </si>
  <si>
    <t xml:space="preserve">Autonomous yard trucks</t>
  </si>
  <si>
    <t xml:space="preserve">Cambridge, MA</t>
  </si>
  <si>
    <t xml:space="preserve">51-200</t>
  </si>
  <si>
    <t xml:space="preserve">$53-70M (Series B $40M, Founders Fund)</t>
  </si>
  <si>
    <t xml:space="preserve">Yibiao Zhao</t>
  </si>
  <si>
    <t xml:space="preserve">Commercial deployments live; East Coast.</t>
  </si>
  <si>
    <t xml:space="preserve">Last funding 2022-23 - check runway/growth.</t>
  </si>
  <si>
    <t xml:space="preserve">https://www.robotics247.com/article/isee_raises_series_b_funding_for_self_driving_yard_trucks ; https://craft.co/isee-cambridge</t>
  </si>
  <si>
    <t xml:space="preserve">Invisible AI</t>
  </si>
  <si>
    <t xml:space="preserve">Computer vision for assembly lines</t>
  </si>
  <si>
    <t xml:space="preserve">~75</t>
  </si>
  <si>
    <t xml:space="preserve">$21.6M (last raise 2022)</t>
  </si>
  <si>
    <t xml:space="preserve">Eric Danziger (verify)</t>
  </si>
  <si>
    <t xml:space="preserve">No CRO/VP Sales found; highest sales role is Senior Sales Executive.</t>
  </si>
  <si>
    <t xml:space="preserve">Toyota/Siemens customers; no sales leader.</t>
  </si>
  <si>
    <t xml:space="preserve">Funding is stale (2022) - check budget/headcount trend.</t>
  </si>
  <si>
    <t xml:space="preserve">https://jobs.8vc.com/companies/invisible-ai/jobs/42325556-senior-sales-executive ; https://seedtable.com/companies/invisible-ai</t>
  </si>
  <si>
    <t xml:space="preserve">Oden Technologies</t>
  </si>
  <si>
    <t xml:space="preserve">Industrial AI for process manufacturing</t>
  </si>
  <si>
    <t xml:space="preserve">New York, NY</t>
  </si>
  <si>
    <t xml:space="preserve">44-54</t>
  </si>
  <si>
    <t xml:space="preserve">$42M (Series B)</t>
  </si>
  <si>
    <t xml:space="preserve">Willem Sundblad</t>
  </si>
  <si>
    <t xml:space="preserve">Core industrial-AI niche; NYC (Colin's time zone).</t>
  </si>
  <si>
    <t xml:space="preserve">Headcount sits right at the 50 floor.</t>
  </si>
  <si>
    <t xml:space="preserve">https://www.reveliolabs.com/companies/oden/employees ; https://mfgnewsdigital.mydigitalpublication.com/article/Oden+Technologies+Appoints+Chief+Technology+Officer/4564524/790011/article.html</t>
  </si>
  <si>
    <t xml:space="preserve">Instrumental</t>
  </si>
  <si>
    <t xml:space="preserve">AI quality for electronics manufacturing</t>
  </si>
  <si>
    <t xml:space="preserve">75+</t>
  </si>
  <si>
    <t xml:space="preserve">$81.7M (Series D) + NVentures (Mar 2026)</t>
  </si>
  <si>
    <t xml:space="preserve">Anna-Katrina Shedletsky</t>
  </si>
  <si>
    <t xml:space="preserve">No CRO/VP Sales found in public sources.</t>
  </si>
  <si>
    <t xml:space="preserve">New NVIDIA-backed push into AI server manufacturing.</t>
  </si>
  <si>
    <t xml:space="preserve">Absence of a sales exec is not confirmed - check LinkedIn.</t>
  </si>
  <si>
    <t xml:space="preserve">https://instrumental.com/team ; https://www.fastaijobs.com/companies/instrumental</t>
  </si>
  <si>
    <t xml:space="preserve">LandingAI</t>
  </si>
  <si>
    <t xml:space="preserve">Visual AI / agentic document AI</t>
  </si>
  <si>
    <t xml:space="preserve">Palo Alto, CA</t>
  </si>
  <si>
    <t xml:space="preserve">~110</t>
  </si>
  <si>
    <t xml:space="preserve">Dan Maloney (CEO); Andrew Ng (Exec Chair)</t>
  </si>
  <si>
    <t xml:space="preserve">Brand-name founder, enterprise AE hiring.</t>
  </si>
  <si>
    <t xml:space="preserve">Check LinkedIn for an unannounced sales leader.</t>
  </si>
  <si>
    <t xml:space="preserve">https://www.choppingblock.ai/companies/landingai ; https://builtin.com/job/senior-account-executive/7630736</t>
  </si>
  <si>
    <t xml:space="preserve">Keychain</t>
  </si>
  <si>
    <t xml:space="preserve">AI manufacturing platform for CPG</t>
  </si>
  <si>
    <t xml:space="preserve">101-200</t>
  </si>
  <si>
    <t xml:space="preserve">$68M</t>
  </si>
  <si>
    <t xml:space="preserve">Oisin Hanrahan (co-founders Umang Dua, Jordan Weitz)</t>
  </si>
  <si>
    <t xml:space="preserve">No CRO/VP Sales/CCO found (Head of Retail Partnerships hired).</t>
  </si>
  <si>
    <t xml:space="preserve">NYC; marketplace connecting brands and manufacturers.</t>
  </si>
  <si>
    <t xml:space="preserve">Co-founders may own sales - check.</t>
  </si>
  <si>
    <t xml:space="preserve">https://fortune.com/2024/11/19/keychain-series-a-15-million-general-mills-oisin-hanrahan-angis-list-cpg/ ; https://businessandfinance.com/news/business-person-of-the-month-september-2025-oisin-hanrahan-founder-ceo-of-keychain-brings-its-total-funding-to-68-million</t>
  </si>
  <si>
    <t xml:space="preserve">Electric Era</t>
  </si>
  <si>
    <t xml:space="preserve">EV fast-charging stations (B2B)</t>
  </si>
  <si>
    <t xml:space="preserve">Seattle, WA (verify)</t>
  </si>
  <si>
    <t xml:space="preserve">51-100 (sources conflict)</t>
  </si>
  <si>
    <t xml:space="preserve">~$37-43M</t>
  </si>
  <si>
    <t xml:space="preserve">No CRO in place found; a CRO role was posted.</t>
  </si>
  <si>
    <t xml:space="preserve">Open CRO search (if still live) = fractional bridge pitch.</t>
  </si>
  <si>
    <t xml:space="preserve">CRO posting date unclear - confirm whether filled.</t>
  </si>
  <si>
    <t xml:space="preserve">https://revpath.dealhub.io/jobs/56304528/apply ; https://www.cbinsights.com/company/electric-era/financials</t>
  </si>
  <si>
    <t xml:space="preserve">Nominal</t>
  </si>
  <si>
    <t xml:space="preserve">Hardware test &amp; ops software</t>
  </si>
  <si>
    <t xml:space="preserve">~258</t>
  </si>
  <si>
    <t xml:space="preserve">$182.5M; $1B valuation (Mar 2026)</t>
  </si>
  <si>
    <t xml:space="preserve">Hiring VP of Sales to build sales 'from the ground up'; Area Directors in place.</t>
  </si>
  <si>
    <t xml:space="preserve">Clear leadership gap.</t>
  </si>
  <si>
    <t xml:space="preserve">Above size range; $1B valuation - likely wants full-time VP.</t>
  </si>
  <si>
    <t xml:space="preserve">https://builtin.com/job/director-sales/6896902 ; https://pulse2.com/nominal-80-million-series-b-2-at-1-billion-valuation-raised-for-hardware-engineering-platform</t>
  </si>
  <si>
    <t xml:space="preserve">Viam</t>
  </si>
  <si>
    <t xml:space="preserve">Robotics software platform</t>
  </si>
  <si>
    <t xml:space="preserve">~260</t>
  </si>
  <si>
    <t xml:space="preserve">$117M</t>
  </si>
  <si>
    <t xml:space="preserve">Eliot Horowitz (verify)</t>
  </si>
  <si>
    <t xml:space="preserve">No CRO/VP Sales found; VP Marketing and Enterprise AEs.</t>
  </si>
  <si>
    <t xml:space="preserve">NYC; no sales exec.</t>
  </si>
  <si>
    <t xml:space="preserve">Above size range.</t>
  </si>
  <si>
    <t xml:space="preserve">https://builtinnyc.com/job/enterprise-account-executive/287583 ; https://www.clay.com/dossier/viam-funding</t>
  </si>
  <si>
    <t xml:space="preserve">Versatile</t>
  </si>
  <si>
    <t xml:space="preserve">Construction crane AI/IoT</t>
  </si>
  <si>
    <t xml:space="preserve">Los Altos, CA</t>
  </si>
  <si>
    <t xml:space="preserve">201-500</t>
  </si>
  <si>
    <t xml:space="preserve">$80M Series B</t>
  </si>
  <si>
    <t xml:space="preserve">Eishay Smith</t>
  </si>
  <si>
    <t xml:space="preserve">https://www.calcalistech.com/articles/0,7340,L-3917874,00.html</t>
  </si>
  <si>
    <t xml:space="preserve">Nimble Robotics</t>
  </si>
  <si>
    <t xml:space="preserve">Autonomous fulfillment robotics</t>
  </si>
  <si>
    <t xml:space="preserve">~307</t>
  </si>
  <si>
    <t xml:space="preserve">$221M; $1B valuation</t>
  </si>
  <si>
    <t xml:space="preserve">Simon Kalouche</t>
  </si>
  <si>
    <t xml:space="preserve">No CRO/VP Sales/CCO found (CFO/COO in place).</t>
  </si>
  <si>
    <t xml:space="preserve">https://pulse2.com/nimble-ai-based-robotics-company-raises-106-million-series-c/</t>
  </si>
  <si>
    <t xml:space="preserve">Rebar</t>
  </si>
  <si>
    <t xml:space="preserve">AI OS for HVAC/electrical/plumbing suppliers</t>
  </si>
  <si>
    <t xml:space="preserve">~41</t>
  </si>
  <si>
    <t xml:space="preserve">$14M Series A (Mar 2026)</t>
  </si>
  <si>
    <t xml:space="preserve">Evan Brown</t>
  </si>
  <si>
    <t xml:space="preserve">No CRO/VP Sales found; founder-led.</t>
  </si>
  <si>
    <t xml:space="preserve">Fresh Series A; NYC; industrial distribution.</t>
  </si>
  <si>
    <t xml:space="preserve">Below 50 floor (growing).</t>
  </si>
  <si>
    <t xml:space="preserve">https://news.crunchbase.com/real-estate-property-tech/ai-generated-hvac-quotes-rebar-seriesa/</t>
  </si>
  <si>
    <t xml:space="preserve">Didero</t>
  </si>
  <si>
    <t xml:space="preserve">AI procurement agents for manufacturers</t>
  </si>
  <si>
    <t xml:space="preserve">~39</t>
  </si>
  <si>
    <t xml:space="preserve">$30M Series A (Feb 2026)</t>
  </si>
  <si>
    <t xml:space="preserve">Tim Spencer</t>
  </si>
  <si>
    <t xml:space="preserve">No CRO/VP Sales found; hiring enterprise sales.</t>
  </si>
  <si>
    <t xml:space="preserve">Fresh Series A; NYC; sells to manufacturers.</t>
  </si>
  <si>
    <t xml:space="preserve">https://www.digitalcommerce360.com/2026/02/20/didero-30-million-funding-ai-procurement/</t>
  </si>
  <si>
    <t xml:space="preserve">Fox Robotics</t>
  </si>
  <si>
    <t xml:space="preserve">Autonomous forklifts</t>
  </si>
  <si>
    <t xml:space="preserve">Austin, TX</t>
  </si>
  <si>
    <t xml:space="preserve">~59</t>
  </si>
  <si>
    <t xml:space="preserve">Marin Tchakarov</t>
  </si>
  <si>
    <t xml:space="preserve">No CRO/VP Sales found; Senior AEs.</t>
  </si>
  <si>
    <t xml:space="preserve">Headcount appears down from ~100 - shrinking flag.</t>
  </si>
  <si>
    <t xml:space="preserve">https://www.supplychain247.com/article/marin_tchakarov_joins_fox_robotics_as_ceo ; https://seedtable.com/companies/fox-robotics/changelog</t>
  </si>
  <si>
    <t xml:space="preserve">Cobot (Collaborative Robotics)</t>
  </si>
  <si>
    <t xml:space="preserve">Collaborative mobile robots</t>
  </si>
  <si>
    <t xml:space="preserve">Santa Clara, CA</t>
  </si>
  <si>
    <t xml:space="preserve">$100M Series B</t>
  </si>
  <si>
    <t xml:space="preserve">Brad Porter</t>
  </si>
  <si>
    <t xml:space="preserve">VP Sales role posted, removed Apr 2026 - probably filled.</t>
  </si>
  <si>
    <t xml:space="preserve">Likely now has a VP Sales - check LinkedIn.</t>
  </si>
  <si>
    <t xml:space="preserve">https://builtin.com/job/vp-sales/8923650 ; https://robotics247.com/article/cobot_raises_100_million_series_b_capital</t>
  </si>
  <si>
    <t xml:space="preserve">Fero Labs</t>
  </si>
  <si>
    <t xml:space="preserve">Explainable AI for process manufacturing</t>
  </si>
  <si>
    <t xml:space="preserve">~30</t>
  </si>
  <si>
    <t xml:space="preserve">$9M Series A</t>
  </si>
  <si>
    <t xml:space="preserve">Berk Birand</t>
  </si>
  <si>
    <t xml:space="preserve">Core niche; NYC.</t>
  </si>
  <si>
    <t xml:space="preserve">Below 50 floor.</t>
  </si>
  <si>
    <t xml:space="preserve">https://craft.co/fero-labs ; https://pitchbook.com/profiles/company/179829-73</t>
  </si>
  <si>
    <t xml:space="preserve">Atomic Industries</t>
  </si>
  <si>
    <t xml:space="preserve">AI tool &amp; die manufacturing</t>
  </si>
  <si>
    <t xml:space="preserve">Detroit, MI</t>
  </si>
  <si>
    <t xml:space="preserve">~25</t>
  </si>
  <si>
    <t xml:space="preserve">$25M Series A</t>
  </si>
  <si>
    <t xml:space="preserve">Aaron Slodov</t>
  </si>
  <si>
    <t xml:space="preserve">Core niche; Midwest.</t>
  </si>
  <si>
    <t xml:space="preserve">https://pulse2.com/atomic-industries-25-million-secured-to-advance-ai-based-manufacturing</t>
  </si>
  <si>
    <t xml:space="preserve">Tutor Intelligence</t>
  </si>
  <si>
    <t xml:space="preserve">AI robots for manufacturers/co-packers</t>
  </si>
  <si>
    <t xml:space="preserve">Boston, MA</t>
  </si>
  <si>
    <t xml:space="preserve">~20</t>
  </si>
  <si>
    <t xml:space="preserve">$42M (Series A $34M)</t>
  </si>
  <si>
    <t xml:space="preserve">Josh Gruenstein</t>
  </si>
  <si>
    <t xml:space="preserve">No CRO/VP Sales found; mid-market + 7-figure enterprise programs.</t>
  </si>
  <si>
    <t xml:space="preserve">Strong revenue motion; East Coast.</t>
  </si>
  <si>
    <t xml:space="preserve">https://app.dealroom.co/news/feed/tutor-intelligence-raises-34m-for-ai-robots</t>
  </si>
  <si>
    <t xml:space="preserve">Terminal Industries</t>
  </si>
  <si>
    <t xml:space="preserve">Yard operations AI</t>
  </si>
  <si>
    <t xml:space="preserve">~34</t>
  </si>
  <si>
    <t xml:space="preserve">$17-20M (Series A)</t>
  </si>
  <si>
    <t xml:space="preserve">Darin Brannan</t>
  </si>
  <si>
    <t xml:space="preserve">No CRO/VP Sales found (CMO in place).</t>
  </si>
  <si>
    <t xml:space="preserve">https://betakit.com/?p=408324 ; https://getlatka.com/companies/terminal.io</t>
  </si>
  <si>
    <t xml:space="preserve">Reason excluded</t>
  </si>
  <si>
    <t xml:space="preserve">Covariant</t>
  </si>
  <si>
    <t xml:space="preserve">Headcount 41 and shrinking (-64% over 2 yrs)</t>
  </si>
  <si>
    <t xml:space="preserve">Gather AI</t>
  </si>
  <si>
    <t xml:space="preserve">Head of Sales (Christopher Visnic)</t>
  </si>
  <si>
    <t xml:space="preserve">Machina Labs</t>
  </si>
  <si>
    <t xml:space="preserve">VP Sales + Chief Business Officer</t>
  </si>
  <si>
    <t xml:space="preserve">Path Robotics</t>
  </si>
  <si>
    <t xml:space="preserve">CRO (Heather Carroll) + VP Sales &amp; Marketing</t>
  </si>
  <si>
    <t xml:space="preserve">Amper</t>
  </si>
  <si>
    <t xml:space="preserve">CRO (Dustin Deno)</t>
  </si>
  <si>
    <t xml:space="preserve">Augmentir</t>
  </si>
  <si>
    <t xml:space="preserve">VP Sales</t>
  </si>
  <si>
    <t xml:space="preserve">Elementary</t>
  </si>
  <si>
    <t xml:space="preserve">EVP Sales &amp; Marketing</t>
  </si>
  <si>
    <t xml:space="preserve">Realtime Robotics</t>
  </si>
  <si>
    <t xml:space="preserve">CCO promoted to CEO</t>
  </si>
  <si>
    <t xml:space="preserve">Pickle Robot</t>
  </si>
  <si>
    <t xml:space="preserve">VP Marketing &amp; Sales</t>
  </si>
  <si>
    <t xml:space="preserve">Formic</t>
  </si>
  <si>
    <t xml:space="preserve">Plus One Robotics</t>
  </si>
  <si>
    <t xml:space="preserve">CRO + President/CCO</t>
  </si>
  <si>
    <t xml:space="preserve">Ambi Robotics</t>
  </si>
  <si>
    <t xml:space="preserve">Dusty Robotics</t>
  </si>
  <si>
    <t xml:space="preserve">Basetwo</t>
  </si>
  <si>
    <t xml:space="preserve">Co-founder runs sales (CCO)</t>
  </si>
  <si>
    <t xml:space="preserve">Arch Systems</t>
  </si>
  <si>
    <t xml:space="preserve">VP Global Sales</t>
  </si>
  <si>
    <t xml:space="preserve">Voxel</t>
  </si>
  <si>
    <t xml:space="preserve">Chief Sales Officer</t>
  </si>
  <si>
    <t xml:space="preserve">Sight Machine</t>
  </si>
  <si>
    <t xml:space="preserve">CRO</t>
  </si>
  <si>
    <t xml:space="preserve">MachineMetrics</t>
  </si>
  <si>
    <t xml:space="preserve">HighByte</t>
  </si>
  <si>
    <t xml:space="preserve">Proton.ai</t>
  </si>
  <si>
    <t xml:space="preserve">CRO + VP Sales</t>
  </si>
  <si>
    <t xml:space="preserve">Gridware</t>
  </si>
  <si>
    <t xml:space="preserve">Sales org with RevOps; CRO reported</t>
  </si>
  <si>
    <t xml:space="preserve">Chef Robotics</t>
  </si>
  <si>
    <t xml:space="preserve">VP Sales (hired Jun 2026)</t>
  </si>
  <si>
    <t xml:space="preserve">Brightpick</t>
  </si>
  <si>
    <t xml:space="preserve">CRO + CCO</t>
  </si>
  <si>
    <t xml:space="preserve">Standard Bots</t>
  </si>
  <si>
    <t xml:space="preserve">CCO</t>
  </si>
  <si>
    <t xml:space="preserve">Paperless Parts</t>
  </si>
  <si>
    <t xml:space="preserve">CRO + SVP Sales</t>
  </si>
  <si>
    <t xml:space="preserve">Trunk Tools</t>
  </si>
  <si>
    <t xml:space="preserve">Doxel</t>
  </si>
  <si>
    <t xml:space="preserve">Carbon Robotics</t>
  </si>
  <si>
    <t xml:space="preserve">Augment</t>
  </si>
  <si>
    <t xml:space="preserve">CCO (Justin Hall)</t>
  </si>
  <si>
    <t xml:space="preserve">Canvas</t>
  </si>
  <si>
    <t xml:space="preserve">Third Wave Automation</t>
  </si>
  <si>
    <t xml:space="preserve">VP Sales + CCO</t>
  </si>
  <si>
    <t xml:space="preserve">Slip Robotics</t>
  </si>
  <si>
    <t xml:space="preserve">Outrider</t>
  </si>
  <si>
    <t xml:space="preserve">VP Sales &amp; Account Mgmt</t>
  </si>
  <si>
    <t xml:space="preserve">inVia Robotics</t>
  </si>
  <si>
    <t xml:space="preserve">Everguard.ai</t>
  </si>
  <si>
    <t xml:space="preserve">Sift</t>
  </si>
  <si>
    <t xml:space="preserve">Head of Sales</t>
  </si>
  <si>
    <t xml:space="preserve">Pano AI</t>
  </si>
  <si>
    <t xml:space="preserve">Co-founder CCO + VP Sales</t>
  </si>
  <si>
    <t xml:space="preserve">Copia Automation</t>
  </si>
  <si>
    <t xml:space="preserve">Head of Commercial &amp; Enterprise Sales</t>
  </si>
  <si>
    <t xml:space="preserve">Corvus Robotics</t>
  </si>
  <si>
    <t xml:space="preserve">CRO (Jan 2026)</t>
  </si>
  <si>
    <t xml:space="preserve">Glacier</t>
  </si>
  <si>
    <t xml:space="preserve">AMP Robotics</t>
  </si>
  <si>
    <t xml:space="preserve">Utilidata</t>
  </si>
  <si>
    <t xml:space="preserve">CCO + EVP Sales</t>
  </si>
  <si>
    <t xml:space="preserve">Bonsai Robotics</t>
  </si>
  <si>
    <t xml:space="preserve">CRO + CBO</t>
  </si>
  <si>
    <t xml:space="preserve">EverestLabs</t>
  </si>
  <si>
    <t xml:space="preserve">SVP + VP Sales</t>
  </si>
  <si>
    <t xml:space="preserve">Retrocausal</t>
  </si>
  <si>
    <t xml:space="preserve">VP Sales + Sr Director Sales</t>
  </si>
  <si>
    <t xml:space="preserve">Osaro</t>
  </si>
  <si>
    <t xml:space="preserve">SafeAI</t>
  </si>
  <si>
    <t xml:space="preserve">Teleo</t>
  </si>
  <si>
    <t xml:space="preserve">Lumafield</t>
  </si>
  <si>
    <t xml:space="preserve">Head of Revenue (ex-Xometry CRO)</t>
  </si>
  <si>
    <t xml:space="preserve">Document Crunch</t>
  </si>
  <si>
    <t xml:space="preserve">Higharc</t>
  </si>
  <si>
    <t xml:space="preserve">VP Sales &amp; Success</t>
  </si>
  <si>
    <t xml:space="preserve">Inkbit</t>
  </si>
  <si>
    <t xml:space="preserve">SVP Commercial</t>
  </si>
  <si>
    <t xml:space="preserve">Pactum</t>
  </si>
  <si>
    <t xml:space="preserve">Slate Technologies</t>
  </si>
  <si>
    <t xml:space="preserve">Pallet</t>
  </si>
  <si>
    <t xml:space="preserve">VP Revenue</t>
  </si>
  <si>
    <t xml:space="preserve">Arable</t>
  </si>
  <si>
    <t xml:space="preserve">Chief Business Officer</t>
  </si>
  <si>
    <t xml:space="preserve">Alvys</t>
  </si>
  <si>
    <t xml:space="preserve">Matroid</t>
  </si>
  <si>
    <t xml:space="preserve">Interplay Learning</t>
  </si>
  <si>
    <t xml:space="preserve">Nautilus Labs</t>
  </si>
  <si>
    <t xml:space="preserve">CCO + Global Head of Revenue</t>
  </si>
  <si>
    <t xml:space="preserve">Duro</t>
  </si>
  <si>
    <t xml:space="preserve">Electrified Thermal</t>
  </si>
  <si>
    <t xml:space="preserve">VP Business Development</t>
  </si>
  <si>
    <t xml:space="preserve">House of Design</t>
  </si>
  <si>
    <t xml:space="preserve">CRO + VPs Sales</t>
  </si>
  <si>
    <t xml:space="preserve">Persona AI</t>
  </si>
  <si>
    <t xml:space="preserve">Head of Commercial Strategy</t>
  </si>
  <si>
    <t xml:space="preserve">Cogniac</t>
  </si>
  <si>
    <t xml:space="preserve">Shrinking (64 -&gt; 42)</t>
  </si>
  <si>
    <t xml:space="preserve">Kevala</t>
  </si>
  <si>
    <t xml:space="preserve">Shrinking (80 -&gt; 38)</t>
  </si>
  <si>
    <t xml:space="preserve">Skyline Robotics</t>
  </si>
  <si>
    <t xml:space="preserve">Shrinking (47 -&gt; 28)</t>
  </si>
  <si>
    <t xml:space="preserve">Built Robotics</t>
  </si>
  <si>
    <t xml:space="preserve">~40 employees</t>
  </si>
  <si>
    <t xml:space="preserve">Civ Robotics</t>
  </si>
  <si>
    <t xml:space="preserve">~20-30 employees</t>
  </si>
  <si>
    <t xml:space="preserve">Camus Energy</t>
  </si>
  <si>
    <t xml:space="preserve">21-50 employees, no raise since 2024</t>
  </si>
  <si>
    <t xml:space="preserve">Quilter</t>
  </si>
  <si>
    <t xml:space="preserve">~30 employees</t>
  </si>
  <si>
    <t xml:space="preserve">Cartken</t>
  </si>
  <si>
    <t xml:space="preserve">~31 employees</t>
  </si>
  <si>
    <t xml:space="preserve">BotBuilt</t>
  </si>
  <si>
    <t xml:space="preserve">11-50 employees</t>
  </si>
  <si>
    <t xml:space="preserve">Vayu Robotics</t>
  </si>
  <si>
    <t xml:space="preserve">~22 employees</t>
  </si>
  <si>
    <t xml:space="preserve">Advanced Farm</t>
  </si>
  <si>
    <t xml:space="preserve">Out-of-business flags</t>
  </si>
  <si>
    <t xml:space="preserve">FarmWise</t>
  </si>
  <si>
    <t xml:space="preserve">Wound down / acquired</t>
  </si>
  <si>
    <t xml:space="preserve">Pronto</t>
  </si>
  <si>
    <t xml:space="preserve">Acquired (Atoms)</t>
  </si>
  <si>
    <t xml:space="preserve">Monumental</t>
  </si>
  <si>
    <t xml:space="preserve">Netherlands HQ</t>
  </si>
  <si>
    <t xml:space="preserve">Antora Energy</t>
  </si>
  <si>
    <t xml:space="preserve">$550M raise; VP Strategy &amp; 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</si>
</sst>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COUNTIF(Targets!$B:$B,A5)</f>
        <v>18</v>
      </c>
    </row>
    <row r="6" customFormat="false" ht="15" hidden="false" customHeight="false" outlineLevel="0" collapsed="false">
      <c r="A6" s="6" t="s">
        <v>5</v>
      </c>
      <c r="B6" s="5" t="n">
        <f aca="false">COUNTIF(Targets!$B:$B,A6)</f>
        <v>10</v>
      </c>
    </row>
    <row r="7" customFormat="false" ht="15" hidden="false" customHeight="false" outlineLevel="0" collapsed="false">
      <c r="A7" s="7" t="s">
        <v>6</v>
      </c>
      <c r="B7" s="5" t="n">
        <f aca="false">COUNTIF(Targets!$B:$B,A7)</f>
        <v>12</v>
      </c>
    </row>
    <row r="8" customFormat="false" ht="15" hidden="false" customHeight="false" outlineLevel="0" collapsed="false">
      <c r="A8" s="8" t="s">
        <v>7</v>
      </c>
      <c r="B8" s="8" t="n">
        <f aca="false">SUM(B5:B7)</f>
        <v>40</v>
      </c>
    </row>
    <row r="9" customFormat="false" ht="15" hidden="false" customHeight="false" outlineLevel="0" collapsed="false">
      <c r="A9" s="5" t="s">
        <v>8</v>
      </c>
      <c r="B9" s="5" t="n">
        <f aca="false">COUNTA('Screened Out'!A:A)-1</f>
        <v>79</v>
      </c>
    </row>
    <row r="11" customFormat="false" ht="15" hidden="false" customHeight="false" outlineLevel="0" collapsed="false">
      <c r="A11" s="8" t="s">
        <v>9</v>
      </c>
    </row>
    <row r="12" customFormat="false" ht="15" hidden="false" customHeight="false" outlineLevel="0" collapsed="false">
      <c r="A12" s="5" t="s">
        <v>10</v>
      </c>
    </row>
    <row r="13" customFormat="false" ht="15" hidden="false" customHeight="false" outlineLevel="0" collapsed="false">
      <c r="A13" s="5" t="s">
        <v>11</v>
      </c>
    </row>
    <row r="14" customFormat="false" ht="15" hidden="false" customHeight="false" outlineLevel="0" collapsed="false">
      <c r="A14" s="5" t="s">
        <v>12</v>
      </c>
    </row>
    <row r="15" customFormat="false" ht="15" hidden="false" customHeight="false" outlineLevel="0" collapsed="false">
      <c r="A15" s="5" t="s">
        <v>13</v>
      </c>
    </row>
    <row r="16" customFormat="false" ht="15" hidden="false" customHeight="false" outlineLevel="0" collapsed="false">
      <c r="A16" s="5" t="s">
        <v>14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8" t="s">
        <v>15</v>
      </c>
    </row>
    <row r="19" customFormat="false" ht="15" hidden="false" customHeight="false" outlineLevel="0" collapsed="false">
      <c r="A19" s="5" t="s">
        <v>16</v>
      </c>
    </row>
    <row r="20" customFormat="false" ht="15" hidden="false" customHeight="false" outlineLevel="0" collapsed="false">
      <c r="A20" s="5" t="s">
        <v>17</v>
      </c>
    </row>
    <row r="21" customFormat="false" ht="15" hidden="false" customHeight="false" outlineLevel="0" collapsed="false">
      <c r="A21" s="5" t="s">
        <v>18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8" t="s">
        <v>19</v>
      </c>
    </row>
    <row r="24" customFormat="false" ht="15" hidden="false" customHeight="false" outlineLevel="0" collapsed="false">
      <c r="A24" s="5" t="s">
        <v>20</v>
      </c>
    </row>
    <row r="25" customFormat="false" ht="15" hidden="false" customHeight="false" outlineLevel="0" collapsed="false">
      <c r="A25" s="5" t="s">
        <v>21</v>
      </c>
    </row>
    <row r="26" customFormat="false" ht="15" hidden="false" customHeight="false" outlineLevel="0" collapsed="false">
      <c r="A26" s="5" t="s">
        <v>22</v>
      </c>
    </row>
    <row r="27" customFormat="false" ht="15" hidden="false" customHeight="false" outlineLevel="0" collapsed="false">
      <c r="A27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48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60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9" t="s">
        <v>24</v>
      </c>
      <c r="B1" s="9" t="s">
        <v>2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</row>
    <row r="2" customFormat="false" ht="23.85" hidden="false" customHeight="false" outlineLevel="0" collapsed="false">
      <c r="A2" s="10" t="s">
        <v>35</v>
      </c>
      <c r="B2" s="11" t="s">
        <v>4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  <c r="L2" s="13" t="s">
        <v>45</v>
      </c>
    </row>
    <row r="3" customFormat="false" ht="23.85" hidden="false" customHeight="false" outlineLevel="0" collapsed="false">
      <c r="A3" s="10" t="s">
        <v>46</v>
      </c>
      <c r="B3" s="11" t="s">
        <v>4</v>
      </c>
      <c r="C3" s="12" t="s">
        <v>47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2" t="s">
        <v>53</v>
      </c>
      <c r="J3" s="12" t="s">
        <v>54</v>
      </c>
      <c r="K3" s="12" t="s">
        <v>55</v>
      </c>
      <c r="L3" s="13" t="s">
        <v>45</v>
      </c>
    </row>
    <row r="4" customFormat="false" ht="23.85" hidden="false" customHeight="false" outlineLevel="0" collapsed="false">
      <c r="A4" s="10" t="s">
        <v>56</v>
      </c>
      <c r="B4" s="11" t="s">
        <v>4</v>
      </c>
      <c r="C4" s="12" t="s">
        <v>57</v>
      </c>
      <c r="D4" s="12" t="s">
        <v>58</v>
      </c>
      <c r="E4" s="12" t="s">
        <v>49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3" t="s">
        <v>45</v>
      </c>
    </row>
    <row r="5" customFormat="false" ht="35.05" hidden="false" customHeight="false" outlineLevel="0" collapsed="false">
      <c r="A5" s="10" t="s">
        <v>65</v>
      </c>
      <c r="B5" s="11" t="s">
        <v>4</v>
      </c>
      <c r="C5" s="12" t="s">
        <v>66</v>
      </c>
      <c r="D5" s="12" t="s">
        <v>67</v>
      </c>
      <c r="E5" s="12" t="s">
        <v>68</v>
      </c>
      <c r="F5" s="12" t="s">
        <v>69</v>
      </c>
      <c r="G5" s="12" t="s">
        <v>70</v>
      </c>
      <c r="H5" s="12" t="s">
        <v>71</v>
      </c>
      <c r="I5" s="12" t="s">
        <v>72</v>
      </c>
      <c r="J5" s="12" t="s">
        <v>73</v>
      </c>
      <c r="K5" s="12" t="s">
        <v>74</v>
      </c>
      <c r="L5" s="13" t="s">
        <v>45</v>
      </c>
    </row>
    <row r="6" customFormat="false" ht="46.25" hidden="false" customHeight="false" outlineLevel="0" collapsed="false">
      <c r="A6" s="10" t="s">
        <v>75</v>
      </c>
      <c r="B6" s="11" t="s">
        <v>4</v>
      </c>
      <c r="C6" s="12" t="s">
        <v>76</v>
      </c>
      <c r="D6" s="12" t="s">
        <v>77</v>
      </c>
      <c r="E6" s="12" t="s">
        <v>78</v>
      </c>
      <c r="F6" s="12" t="s">
        <v>79</v>
      </c>
      <c r="G6" s="12" t="s">
        <v>80</v>
      </c>
      <c r="H6" s="12" t="s">
        <v>81</v>
      </c>
      <c r="I6" s="12" t="s">
        <v>82</v>
      </c>
      <c r="J6" s="12" t="s">
        <v>83</v>
      </c>
      <c r="K6" s="12" t="s">
        <v>84</v>
      </c>
      <c r="L6" s="13" t="s">
        <v>45</v>
      </c>
    </row>
    <row r="7" customFormat="false" ht="57.45" hidden="false" customHeight="false" outlineLevel="0" collapsed="false">
      <c r="A7" s="10" t="s">
        <v>85</v>
      </c>
      <c r="B7" s="11" t="s">
        <v>4</v>
      </c>
      <c r="C7" s="12" t="s">
        <v>86</v>
      </c>
      <c r="D7" s="12" t="s">
        <v>87</v>
      </c>
      <c r="E7" s="12" t="s">
        <v>88</v>
      </c>
      <c r="F7" s="12" t="s">
        <v>89</v>
      </c>
      <c r="G7" s="12" t="s">
        <v>90</v>
      </c>
      <c r="H7" s="12" t="s">
        <v>91</v>
      </c>
      <c r="I7" s="12" t="s">
        <v>92</v>
      </c>
      <c r="J7" s="12" t="s">
        <v>93</v>
      </c>
      <c r="K7" s="12" t="s">
        <v>94</v>
      </c>
      <c r="L7" s="13" t="s">
        <v>45</v>
      </c>
    </row>
    <row r="8" customFormat="false" ht="23.85" hidden="false" customHeight="false" outlineLevel="0" collapsed="false">
      <c r="A8" s="10" t="s">
        <v>95</v>
      </c>
      <c r="B8" s="11" t="s">
        <v>4</v>
      </c>
      <c r="C8" s="12" t="s">
        <v>96</v>
      </c>
      <c r="D8" s="12" t="s">
        <v>67</v>
      </c>
      <c r="E8" s="12" t="s">
        <v>97</v>
      </c>
      <c r="F8" s="12" t="s">
        <v>98</v>
      </c>
      <c r="G8" s="12" t="s">
        <v>99</v>
      </c>
      <c r="H8" s="12" t="s">
        <v>100</v>
      </c>
      <c r="I8" s="12" t="s">
        <v>101</v>
      </c>
      <c r="J8" s="12" t="s">
        <v>102</v>
      </c>
      <c r="K8" s="12" t="s">
        <v>103</v>
      </c>
      <c r="L8" s="13" t="s">
        <v>45</v>
      </c>
    </row>
    <row r="9" customFormat="false" ht="35.05" hidden="false" customHeight="false" outlineLevel="0" collapsed="false">
      <c r="A9" s="10" t="s">
        <v>104</v>
      </c>
      <c r="B9" s="11" t="s">
        <v>4</v>
      </c>
      <c r="C9" s="12" t="s">
        <v>105</v>
      </c>
      <c r="D9" s="12" t="s">
        <v>106</v>
      </c>
      <c r="E9" s="12" t="s">
        <v>107</v>
      </c>
      <c r="F9" s="12" t="s">
        <v>108</v>
      </c>
      <c r="G9" s="12" t="s">
        <v>109</v>
      </c>
      <c r="H9" s="12" t="s">
        <v>110</v>
      </c>
      <c r="I9" s="12" t="s">
        <v>111</v>
      </c>
      <c r="J9" s="12" t="s">
        <v>102</v>
      </c>
      <c r="K9" s="12" t="s">
        <v>112</v>
      </c>
      <c r="L9" s="13" t="s">
        <v>45</v>
      </c>
    </row>
    <row r="10" customFormat="false" ht="23.85" hidden="false" customHeight="false" outlineLevel="0" collapsed="false">
      <c r="A10" s="10" t="s">
        <v>113</v>
      </c>
      <c r="B10" s="11" t="s">
        <v>4</v>
      </c>
      <c r="C10" s="12" t="s">
        <v>114</v>
      </c>
      <c r="D10" s="12" t="s">
        <v>115</v>
      </c>
      <c r="E10" s="12" t="s">
        <v>116</v>
      </c>
      <c r="F10" s="12" t="s">
        <v>117</v>
      </c>
      <c r="G10" s="12" t="s">
        <v>118</v>
      </c>
      <c r="H10" s="12" t="s">
        <v>119</v>
      </c>
      <c r="I10" s="12" t="s">
        <v>120</v>
      </c>
      <c r="J10" s="12" t="s">
        <v>121</v>
      </c>
      <c r="K10" s="12" t="s">
        <v>122</v>
      </c>
      <c r="L10" s="13" t="s">
        <v>45</v>
      </c>
    </row>
    <row r="11" customFormat="false" ht="46.25" hidden="false" customHeight="false" outlineLevel="0" collapsed="false">
      <c r="A11" s="10" t="s">
        <v>123</v>
      </c>
      <c r="B11" s="11" t="s">
        <v>4</v>
      </c>
      <c r="C11" s="12" t="s">
        <v>124</v>
      </c>
      <c r="D11" s="12" t="s">
        <v>106</v>
      </c>
      <c r="E11" s="12" t="s">
        <v>125</v>
      </c>
      <c r="F11" s="12" t="s">
        <v>126</v>
      </c>
      <c r="G11" s="12" t="s">
        <v>127</v>
      </c>
      <c r="H11" s="12" t="s">
        <v>128</v>
      </c>
      <c r="I11" s="12" t="s">
        <v>129</v>
      </c>
      <c r="J11" s="12" t="s">
        <v>130</v>
      </c>
      <c r="K11" s="12" t="s">
        <v>131</v>
      </c>
      <c r="L11" s="13" t="s">
        <v>45</v>
      </c>
    </row>
    <row r="12" customFormat="false" ht="23.85" hidden="false" customHeight="false" outlineLevel="0" collapsed="false">
      <c r="A12" s="10" t="s">
        <v>132</v>
      </c>
      <c r="B12" s="11" t="s">
        <v>4</v>
      </c>
      <c r="C12" s="12" t="s">
        <v>133</v>
      </c>
      <c r="D12" s="12" t="s">
        <v>87</v>
      </c>
      <c r="E12" s="12" t="s">
        <v>134</v>
      </c>
      <c r="F12" s="12" t="s">
        <v>135</v>
      </c>
      <c r="G12" s="12" t="s">
        <v>136</v>
      </c>
      <c r="H12" s="12" t="s">
        <v>137</v>
      </c>
      <c r="I12" s="12" t="s">
        <v>138</v>
      </c>
      <c r="J12" s="12" t="s">
        <v>93</v>
      </c>
      <c r="K12" s="12" t="s">
        <v>139</v>
      </c>
      <c r="L12" s="13" t="s">
        <v>45</v>
      </c>
    </row>
    <row r="13" customFormat="false" ht="23.85" hidden="false" customHeight="false" outlineLevel="0" collapsed="false">
      <c r="A13" s="10" t="s">
        <v>140</v>
      </c>
      <c r="B13" s="11" t="s">
        <v>4</v>
      </c>
      <c r="C13" s="12" t="s">
        <v>141</v>
      </c>
      <c r="D13" s="12" t="s">
        <v>58</v>
      </c>
      <c r="E13" s="12" t="s">
        <v>142</v>
      </c>
      <c r="F13" s="12" t="s">
        <v>143</v>
      </c>
      <c r="G13" s="12" t="s">
        <v>144</v>
      </c>
      <c r="H13" s="12" t="s">
        <v>145</v>
      </c>
      <c r="I13" s="12" t="s">
        <v>146</v>
      </c>
      <c r="J13" s="12" t="s">
        <v>102</v>
      </c>
      <c r="K13" s="12" t="s">
        <v>147</v>
      </c>
      <c r="L13" s="13" t="s">
        <v>45</v>
      </c>
    </row>
    <row r="14" customFormat="false" ht="23.85" hidden="false" customHeight="false" outlineLevel="0" collapsed="false">
      <c r="A14" s="10" t="s">
        <v>148</v>
      </c>
      <c r="B14" s="11" t="s">
        <v>4</v>
      </c>
      <c r="C14" s="12" t="s">
        <v>149</v>
      </c>
      <c r="D14" s="12" t="s">
        <v>58</v>
      </c>
      <c r="E14" s="12" t="s">
        <v>150</v>
      </c>
      <c r="F14" s="12" t="s">
        <v>151</v>
      </c>
      <c r="G14" s="12" t="s">
        <v>152</v>
      </c>
      <c r="H14" s="12" t="s">
        <v>153</v>
      </c>
      <c r="I14" s="12" t="s">
        <v>154</v>
      </c>
      <c r="J14" s="12" t="s">
        <v>102</v>
      </c>
      <c r="K14" s="12" t="s">
        <v>155</v>
      </c>
      <c r="L14" s="13" t="s">
        <v>45</v>
      </c>
    </row>
    <row r="15" customFormat="false" ht="35.05" hidden="false" customHeight="false" outlineLevel="0" collapsed="false">
      <c r="A15" s="10" t="s">
        <v>156</v>
      </c>
      <c r="B15" s="11" t="s">
        <v>4</v>
      </c>
      <c r="C15" s="12" t="s">
        <v>157</v>
      </c>
      <c r="D15" s="12" t="s">
        <v>158</v>
      </c>
      <c r="E15" s="12" t="s">
        <v>159</v>
      </c>
      <c r="F15" s="12" t="s">
        <v>160</v>
      </c>
      <c r="G15" s="12" t="s">
        <v>161</v>
      </c>
      <c r="H15" s="12" t="s">
        <v>162</v>
      </c>
      <c r="I15" s="12" t="s">
        <v>163</v>
      </c>
      <c r="J15" s="12" t="s">
        <v>102</v>
      </c>
      <c r="K15" s="12" t="s">
        <v>164</v>
      </c>
      <c r="L15" s="13" t="s">
        <v>45</v>
      </c>
    </row>
    <row r="16" customFormat="false" ht="35.05" hidden="false" customHeight="false" outlineLevel="0" collapsed="false">
      <c r="A16" s="10" t="s">
        <v>165</v>
      </c>
      <c r="B16" s="11" t="s">
        <v>4</v>
      </c>
      <c r="C16" s="12" t="s">
        <v>166</v>
      </c>
      <c r="D16" s="12" t="s">
        <v>167</v>
      </c>
      <c r="E16" s="12" t="s">
        <v>168</v>
      </c>
      <c r="F16" s="12" t="s">
        <v>169</v>
      </c>
      <c r="G16" s="12" t="s">
        <v>170</v>
      </c>
      <c r="H16" s="12" t="s">
        <v>171</v>
      </c>
      <c r="I16" s="12" t="s">
        <v>172</v>
      </c>
      <c r="J16" s="12" t="s">
        <v>173</v>
      </c>
      <c r="K16" s="12" t="s">
        <v>174</v>
      </c>
      <c r="L16" s="13" t="s">
        <v>45</v>
      </c>
    </row>
    <row r="17" customFormat="false" ht="35.05" hidden="false" customHeight="false" outlineLevel="0" collapsed="false">
      <c r="A17" s="10" t="s">
        <v>175</v>
      </c>
      <c r="B17" s="11" t="s">
        <v>4</v>
      </c>
      <c r="C17" s="12" t="s">
        <v>176</v>
      </c>
      <c r="D17" s="12" t="s">
        <v>177</v>
      </c>
      <c r="E17" s="12" t="s">
        <v>178</v>
      </c>
      <c r="F17" s="12" t="s">
        <v>179</v>
      </c>
      <c r="G17" s="12" t="s">
        <v>180</v>
      </c>
      <c r="H17" s="12" t="s">
        <v>181</v>
      </c>
      <c r="I17" s="12" t="s">
        <v>182</v>
      </c>
      <c r="J17" s="12" t="s">
        <v>183</v>
      </c>
      <c r="K17" s="12" t="s">
        <v>184</v>
      </c>
      <c r="L17" s="13" t="s">
        <v>45</v>
      </c>
    </row>
    <row r="18" customFormat="false" ht="46.25" hidden="false" customHeight="false" outlineLevel="0" collapsed="false">
      <c r="A18" s="10" t="s">
        <v>185</v>
      </c>
      <c r="B18" s="11" t="s">
        <v>4</v>
      </c>
      <c r="C18" s="12" t="s">
        <v>186</v>
      </c>
      <c r="D18" s="12" t="s">
        <v>77</v>
      </c>
      <c r="E18" s="12" t="s">
        <v>187</v>
      </c>
      <c r="F18" s="12" t="s">
        <v>188</v>
      </c>
      <c r="G18" s="12" t="s">
        <v>189</v>
      </c>
      <c r="H18" s="12" t="s">
        <v>190</v>
      </c>
      <c r="I18" s="12" t="s">
        <v>191</v>
      </c>
      <c r="J18" s="12" t="s">
        <v>173</v>
      </c>
      <c r="K18" s="12" t="s">
        <v>192</v>
      </c>
      <c r="L18" s="13" t="s">
        <v>45</v>
      </c>
    </row>
    <row r="19" customFormat="false" ht="46.25" hidden="false" customHeight="false" outlineLevel="0" collapsed="false">
      <c r="A19" s="10" t="s">
        <v>193</v>
      </c>
      <c r="B19" s="11" t="s">
        <v>4</v>
      </c>
      <c r="C19" s="12" t="s">
        <v>194</v>
      </c>
      <c r="D19" s="12" t="s">
        <v>195</v>
      </c>
      <c r="E19" s="12" t="s">
        <v>196</v>
      </c>
      <c r="F19" s="12" t="s">
        <v>197</v>
      </c>
      <c r="G19" s="12" t="s">
        <v>198</v>
      </c>
      <c r="H19" s="12" t="s">
        <v>162</v>
      </c>
      <c r="I19" s="12" t="s">
        <v>199</v>
      </c>
      <c r="J19" s="12" t="s">
        <v>102</v>
      </c>
      <c r="K19" s="12" t="s">
        <v>200</v>
      </c>
      <c r="L19" s="13" t="s">
        <v>45</v>
      </c>
    </row>
    <row r="20" customFormat="false" ht="35.05" hidden="false" customHeight="false" outlineLevel="0" collapsed="false">
      <c r="A20" s="10" t="s">
        <v>201</v>
      </c>
      <c r="B20" s="14" t="s">
        <v>5</v>
      </c>
      <c r="C20" s="12" t="s">
        <v>202</v>
      </c>
      <c r="D20" s="12" t="s">
        <v>203</v>
      </c>
      <c r="E20" s="12" t="s">
        <v>204</v>
      </c>
      <c r="F20" s="12" t="s">
        <v>205</v>
      </c>
      <c r="G20" s="12" t="s">
        <v>206</v>
      </c>
      <c r="H20" s="12" t="s">
        <v>207</v>
      </c>
      <c r="I20" s="12" t="s">
        <v>208</v>
      </c>
      <c r="J20" s="12" t="s">
        <v>209</v>
      </c>
      <c r="K20" s="12" t="s">
        <v>210</v>
      </c>
      <c r="L20" s="13" t="s">
        <v>45</v>
      </c>
    </row>
    <row r="21" customFormat="false" ht="23.85" hidden="false" customHeight="false" outlineLevel="0" collapsed="false">
      <c r="A21" s="10" t="s">
        <v>211</v>
      </c>
      <c r="B21" s="14" t="s">
        <v>5</v>
      </c>
      <c r="C21" s="12" t="s">
        <v>212</v>
      </c>
      <c r="D21" s="12" t="s">
        <v>67</v>
      </c>
      <c r="E21" s="12" t="s">
        <v>213</v>
      </c>
      <c r="F21" s="12" t="s">
        <v>214</v>
      </c>
      <c r="G21" s="12" t="s">
        <v>215</v>
      </c>
      <c r="H21" s="12" t="s">
        <v>216</v>
      </c>
      <c r="I21" s="12" t="s">
        <v>217</v>
      </c>
      <c r="J21" s="12" t="s">
        <v>218</v>
      </c>
      <c r="K21" s="12" t="s">
        <v>219</v>
      </c>
      <c r="L21" s="13" t="s">
        <v>45</v>
      </c>
    </row>
    <row r="22" customFormat="false" ht="35.05" hidden="false" customHeight="false" outlineLevel="0" collapsed="false">
      <c r="A22" s="10" t="s">
        <v>220</v>
      </c>
      <c r="B22" s="14" t="s">
        <v>5</v>
      </c>
      <c r="C22" s="12" t="s">
        <v>221</v>
      </c>
      <c r="D22" s="12" t="s">
        <v>222</v>
      </c>
      <c r="E22" s="12" t="s">
        <v>223</v>
      </c>
      <c r="F22" s="12" t="s">
        <v>224</v>
      </c>
      <c r="G22" s="12" t="s">
        <v>225</v>
      </c>
      <c r="H22" s="12" t="s">
        <v>226</v>
      </c>
      <c r="I22" s="12" t="s">
        <v>227</v>
      </c>
      <c r="J22" s="12" t="s">
        <v>228</v>
      </c>
      <c r="K22" s="12" t="s">
        <v>229</v>
      </c>
      <c r="L22" s="13" t="s">
        <v>45</v>
      </c>
    </row>
    <row r="23" customFormat="false" ht="35.05" hidden="false" customHeight="false" outlineLevel="0" collapsed="false">
      <c r="A23" s="10" t="s">
        <v>230</v>
      </c>
      <c r="B23" s="14" t="s">
        <v>5</v>
      </c>
      <c r="C23" s="12" t="s">
        <v>231</v>
      </c>
      <c r="D23" s="12" t="s">
        <v>232</v>
      </c>
      <c r="E23" s="12" t="s">
        <v>233</v>
      </c>
      <c r="F23" s="12" t="s">
        <v>234</v>
      </c>
      <c r="G23" s="12" t="s">
        <v>235</v>
      </c>
      <c r="H23" s="12" t="s">
        <v>207</v>
      </c>
      <c r="I23" s="12" t="s">
        <v>236</v>
      </c>
      <c r="J23" s="12" t="s">
        <v>237</v>
      </c>
      <c r="K23" s="12" t="s">
        <v>238</v>
      </c>
      <c r="L23" s="13" t="s">
        <v>45</v>
      </c>
    </row>
    <row r="24" customFormat="false" ht="23.85" hidden="false" customHeight="false" outlineLevel="0" collapsed="false">
      <c r="A24" s="10" t="s">
        <v>239</v>
      </c>
      <c r="B24" s="14" t="s">
        <v>5</v>
      </c>
      <c r="C24" s="12" t="s">
        <v>240</v>
      </c>
      <c r="D24" s="12" t="s">
        <v>87</v>
      </c>
      <c r="E24" s="12" t="s">
        <v>241</v>
      </c>
      <c r="F24" s="12" t="s">
        <v>242</v>
      </c>
      <c r="G24" s="12" t="s">
        <v>243</v>
      </c>
      <c r="H24" s="12" t="s">
        <v>244</v>
      </c>
      <c r="I24" s="12" t="s">
        <v>245</v>
      </c>
      <c r="J24" s="12" t="s">
        <v>246</v>
      </c>
      <c r="K24" s="12" t="s">
        <v>247</v>
      </c>
      <c r="L24" s="13" t="s">
        <v>45</v>
      </c>
    </row>
    <row r="25" customFormat="false" ht="35.05" hidden="false" customHeight="false" outlineLevel="0" collapsed="false">
      <c r="A25" s="10" t="s">
        <v>248</v>
      </c>
      <c r="B25" s="14" t="s">
        <v>5</v>
      </c>
      <c r="C25" s="12" t="s">
        <v>249</v>
      </c>
      <c r="D25" s="12" t="s">
        <v>250</v>
      </c>
      <c r="E25" s="12" t="s">
        <v>251</v>
      </c>
      <c r="F25" s="12" t="s">
        <v>252</v>
      </c>
      <c r="G25" s="12" t="s">
        <v>253</v>
      </c>
      <c r="H25" s="12" t="s">
        <v>162</v>
      </c>
      <c r="I25" s="12" t="s">
        <v>254</v>
      </c>
      <c r="J25" s="12" t="s">
        <v>255</v>
      </c>
      <c r="K25" s="12" t="s">
        <v>256</v>
      </c>
      <c r="L25" s="13" t="s">
        <v>45</v>
      </c>
    </row>
    <row r="26" customFormat="false" ht="23.85" hidden="false" customHeight="false" outlineLevel="0" collapsed="false">
      <c r="A26" s="10" t="s">
        <v>257</v>
      </c>
      <c r="B26" s="14" t="s">
        <v>5</v>
      </c>
      <c r="C26" s="12" t="s">
        <v>258</v>
      </c>
      <c r="D26" s="12" t="s">
        <v>58</v>
      </c>
      <c r="E26" s="12" t="s">
        <v>259</v>
      </c>
      <c r="F26" s="12" t="s">
        <v>260</v>
      </c>
      <c r="G26" s="12" t="s">
        <v>261</v>
      </c>
      <c r="H26" s="12" t="s">
        <v>262</v>
      </c>
      <c r="I26" s="12" t="s">
        <v>263</v>
      </c>
      <c r="J26" s="12" t="s">
        <v>264</v>
      </c>
      <c r="K26" s="12" t="s">
        <v>265</v>
      </c>
      <c r="L26" s="13" t="s">
        <v>45</v>
      </c>
    </row>
    <row r="27" customFormat="false" ht="23.85" hidden="false" customHeight="false" outlineLevel="0" collapsed="false">
      <c r="A27" s="10" t="s">
        <v>266</v>
      </c>
      <c r="B27" s="14" t="s">
        <v>5</v>
      </c>
      <c r="C27" s="12" t="s">
        <v>267</v>
      </c>
      <c r="D27" s="12" t="s">
        <v>268</v>
      </c>
      <c r="E27" s="12" t="s">
        <v>269</v>
      </c>
      <c r="F27" s="12" t="s">
        <v>102</v>
      </c>
      <c r="G27" s="12" t="s">
        <v>270</v>
      </c>
      <c r="H27" s="12" t="s">
        <v>162</v>
      </c>
      <c r="I27" s="12" t="s">
        <v>271</v>
      </c>
      <c r="J27" s="12" t="s">
        <v>272</v>
      </c>
      <c r="K27" s="12" t="s">
        <v>273</v>
      </c>
      <c r="L27" s="13" t="s">
        <v>45</v>
      </c>
    </row>
    <row r="28" customFormat="false" ht="57.45" hidden="false" customHeight="false" outlineLevel="0" collapsed="false">
      <c r="A28" s="10" t="s">
        <v>274</v>
      </c>
      <c r="B28" s="14" t="s">
        <v>5</v>
      </c>
      <c r="C28" s="12" t="s">
        <v>275</v>
      </c>
      <c r="D28" s="12" t="s">
        <v>250</v>
      </c>
      <c r="E28" s="12" t="s">
        <v>276</v>
      </c>
      <c r="F28" s="12" t="s">
        <v>277</v>
      </c>
      <c r="G28" s="12" t="s">
        <v>278</v>
      </c>
      <c r="H28" s="12" t="s">
        <v>279</v>
      </c>
      <c r="I28" s="12" t="s">
        <v>280</v>
      </c>
      <c r="J28" s="12" t="s">
        <v>281</v>
      </c>
      <c r="K28" s="12" t="s">
        <v>282</v>
      </c>
      <c r="L28" s="13" t="s">
        <v>45</v>
      </c>
    </row>
    <row r="29" customFormat="false" ht="23.85" hidden="false" customHeight="false" outlineLevel="0" collapsed="false">
      <c r="A29" s="10" t="s">
        <v>283</v>
      </c>
      <c r="B29" s="14" t="s">
        <v>5</v>
      </c>
      <c r="C29" s="12" t="s">
        <v>284</v>
      </c>
      <c r="D29" s="12" t="s">
        <v>285</v>
      </c>
      <c r="E29" s="12" t="s">
        <v>286</v>
      </c>
      <c r="F29" s="12" t="s">
        <v>287</v>
      </c>
      <c r="G29" s="12" t="s">
        <v>102</v>
      </c>
      <c r="H29" s="12" t="s">
        <v>288</v>
      </c>
      <c r="I29" s="12" t="s">
        <v>289</v>
      </c>
      <c r="J29" s="12" t="s">
        <v>290</v>
      </c>
      <c r="K29" s="12" t="s">
        <v>291</v>
      </c>
      <c r="L29" s="13" t="s">
        <v>45</v>
      </c>
    </row>
    <row r="30" customFormat="false" ht="35.05" hidden="false" customHeight="false" outlineLevel="0" collapsed="false">
      <c r="A30" s="10" t="s">
        <v>292</v>
      </c>
      <c r="B30" s="15" t="s">
        <v>6</v>
      </c>
      <c r="C30" s="12" t="s">
        <v>293</v>
      </c>
      <c r="D30" s="12" t="s">
        <v>106</v>
      </c>
      <c r="E30" s="12" t="s">
        <v>294</v>
      </c>
      <c r="F30" s="12" t="s">
        <v>295</v>
      </c>
      <c r="G30" s="12" t="s">
        <v>102</v>
      </c>
      <c r="H30" s="12" t="s">
        <v>296</v>
      </c>
      <c r="I30" s="12" t="s">
        <v>297</v>
      </c>
      <c r="J30" s="12" t="s">
        <v>298</v>
      </c>
      <c r="K30" s="12" t="s">
        <v>299</v>
      </c>
      <c r="L30" s="13" t="s">
        <v>45</v>
      </c>
    </row>
    <row r="31" customFormat="false" ht="23.85" hidden="false" customHeight="false" outlineLevel="0" collapsed="false">
      <c r="A31" s="10" t="s">
        <v>300</v>
      </c>
      <c r="B31" s="15" t="s">
        <v>6</v>
      </c>
      <c r="C31" s="12" t="s">
        <v>301</v>
      </c>
      <c r="D31" s="12" t="s">
        <v>250</v>
      </c>
      <c r="E31" s="12" t="s">
        <v>302</v>
      </c>
      <c r="F31" s="12" t="s">
        <v>303</v>
      </c>
      <c r="G31" s="12" t="s">
        <v>304</v>
      </c>
      <c r="H31" s="12" t="s">
        <v>305</v>
      </c>
      <c r="I31" s="12" t="s">
        <v>306</v>
      </c>
      <c r="J31" s="12" t="s">
        <v>307</v>
      </c>
      <c r="K31" s="12" t="s">
        <v>308</v>
      </c>
      <c r="L31" s="13" t="s">
        <v>45</v>
      </c>
    </row>
    <row r="32" customFormat="false" ht="15" hidden="false" customHeight="false" outlineLevel="0" collapsed="false">
      <c r="A32" s="10" t="s">
        <v>309</v>
      </c>
      <c r="B32" s="15" t="s">
        <v>6</v>
      </c>
      <c r="C32" s="12" t="s">
        <v>310</v>
      </c>
      <c r="D32" s="12" t="s">
        <v>311</v>
      </c>
      <c r="E32" s="12" t="s">
        <v>312</v>
      </c>
      <c r="F32" s="12" t="s">
        <v>313</v>
      </c>
      <c r="G32" s="12" t="s">
        <v>314</v>
      </c>
      <c r="H32" s="12" t="s">
        <v>226</v>
      </c>
      <c r="I32" s="12" t="s">
        <v>102</v>
      </c>
      <c r="J32" s="12" t="s">
        <v>307</v>
      </c>
      <c r="K32" s="12" t="s">
        <v>315</v>
      </c>
      <c r="L32" s="13" t="s">
        <v>45</v>
      </c>
    </row>
    <row r="33" customFormat="false" ht="23.85" hidden="false" customHeight="false" outlineLevel="0" collapsed="false">
      <c r="A33" s="10" t="s">
        <v>316</v>
      </c>
      <c r="B33" s="15" t="s">
        <v>6</v>
      </c>
      <c r="C33" s="12" t="s">
        <v>317</v>
      </c>
      <c r="D33" s="12" t="s">
        <v>67</v>
      </c>
      <c r="E33" s="12" t="s">
        <v>318</v>
      </c>
      <c r="F33" s="12" t="s">
        <v>319</v>
      </c>
      <c r="G33" s="12" t="s">
        <v>320</v>
      </c>
      <c r="H33" s="12" t="s">
        <v>321</v>
      </c>
      <c r="I33" s="12" t="s">
        <v>102</v>
      </c>
      <c r="J33" s="12" t="s">
        <v>307</v>
      </c>
      <c r="K33" s="12" t="s">
        <v>322</v>
      </c>
      <c r="L33" s="13" t="s">
        <v>45</v>
      </c>
    </row>
    <row r="34" customFormat="false" ht="23.85" hidden="false" customHeight="false" outlineLevel="0" collapsed="false">
      <c r="A34" s="10" t="s">
        <v>323</v>
      </c>
      <c r="B34" s="15" t="s">
        <v>6</v>
      </c>
      <c r="C34" s="12" t="s">
        <v>324</v>
      </c>
      <c r="D34" s="12" t="s">
        <v>250</v>
      </c>
      <c r="E34" s="12" t="s">
        <v>325</v>
      </c>
      <c r="F34" s="12" t="s">
        <v>326</v>
      </c>
      <c r="G34" s="12" t="s">
        <v>327</v>
      </c>
      <c r="H34" s="12" t="s">
        <v>328</v>
      </c>
      <c r="I34" s="12" t="s">
        <v>329</v>
      </c>
      <c r="J34" s="12" t="s">
        <v>330</v>
      </c>
      <c r="K34" s="12" t="s">
        <v>331</v>
      </c>
      <c r="L34" s="13" t="s">
        <v>45</v>
      </c>
    </row>
    <row r="35" customFormat="false" ht="23.85" hidden="false" customHeight="false" outlineLevel="0" collapsed="false">
      <c r="A35" s="10" t="s">
        <v>332</v>
      </c>
      <c r="B35" s="15" t="s">
        <v>6</v>
      </c>
      <c r="C35" s="12" t="s">
        <v>333</v>
      </c>
      <c r="D35" s="12" t="s">
        <v>250</v>
      </c>
      <c r="E35" s="12" t="s">
        <v>334</v>
      </c>
      <c r="F35" s="12" t="s">
        <v>335</v>
      </c>
      <c r="G35" s="12" t="s">
        <v>336</v>
      </c>
      <c r="H35" s="12" t="s">
        <v>337</v>
      </c>
      <c r="I35" s="12" t="s">
        <v>338</v>
      </c>
      <c r="J35" s="12" t="s">
        <v>330</v>
      </c>
      <c r="K35" s="12" t="s">
        <v>339</v>
      </c>
      <c r="L35" s="13" t="s">
        <v>45</v>
      </c>
    </row>
    <row r="36" customFormat="false" ht="35.05" hidden="false" customHeight="false" outlineLevel="0" collapsed="false">
      <c r="A36" s="10" t="s">
        <v>340</v>
      </c>
      <c r="B36" s="15" t="s">
        <v>6</v>
      </c>
      <c r="C36" s="12" t="s">
        <v>341</v>
      </c>
      <c r="D36" s="12" t="s">
        <v>342</v>
      </c>
      <c r="E36" s="12" t="s">
        <v>343</v>
      </c>
      <c r="F36" s="12" t="s">
        <v>102</v>
      </c>
      <c r="G36" s="12" t="s">
        <v>344</v>
      </c>
      <c r="H36" s="12" t="s">
        <v>345</v>
      </c>
      <c r="I36" s="12" t="s">
        <v>102</v>
      </c>
      <c r="J36" s="12" t="s">
        <v>346</v>
      </c>
      <c r="K36" s="12" t="s">
        <v>347</v>
      </c>
      <c r="L36" s="13" t="s">
        <v>45</v>
      </c>
    </row>
    <row r="37" customFormat="false" ht="23.85" hidden="false" customHeight="false" outlineLevel="0" collapsed="false">
      <c r="A37" s="10" t="s">
        <v>348</v>
      </c>
      <c r="B37" s="15" t="s">
        <v>6</v>
      </c>
      <c r="C37" s="12" t="s">
        <v>349</v>
      </c>
      <c r="D37" s="12" t="s">
        <v>350</v>
      </c>
      <c r="E37" s="12" t="s">
        <v>102</v>
      </c>
      <c r="F37" s="12" t="s">
        <v>351</v>
      </c>
      <c r="G37" s="12" t="s">
        <v>352</v>
      </c>
      <c r="H37" s="12" t="s">
        <v>353</v>
      </c>
      <c r="I37" s="12" t="s">
        <v>102</v>
      </c>
      <c r="J37" s="12" t="s">
        <v>354</v>
      </c>
      <c r="K37" s="12" t="s">
        <v>355</v>
      </c>
      <c r="L37" s="13" t="s">
        <v>45</v>
      </c>
    </row>
    <row r="38" customFormat="false" ht="23.85" hidden="false" customHeight="false" outlineLevel="0" collapsed="false">
      <c r="A38" s="10" t="s">
        <v>356</v>
      </c>
      <c r="B38" s="15" t="s">
        <v>6</v>
      </c>
      <c r="C38" s="12" t="s">
        <v>357</v>
      </c>
      <c r="D38" s="12" t="s">
        <v>250</v>
      </c>
      <c r="E38" s="12" t="s">
        <v>358</v>
      </c>
      <c r="F38" s="12" t="s">
        <v>359</v>
      </c>
      <c r="G38" s="12" t="s">
        <v>360</v>
      </c>
      <c r="H38" s="12" t="s">
        <v>226</v>
      </c>
      <c r="I38" s="12" t="s">
        <v>361</v>
      </c>
      <c r="J38" s="12" t="s">
        <v>362</v>
      </c>
      <c r="K38" s="12" t="s">
        <v>363</v>
      </c>
      <c r="L38" s="13" t="s">
        <v>45</v>
      </c>
    </row>
    <row r="39" customFormat="false" ht="23.85" hidden="false" customHeight="false" outlineLevel="0" collapsed="false">
      <c r="A39" s="10" t="s">
        <v>364</v>
      </c>
      <c r="B39" s="15" t="s">
        <v>6</v>
      </c>
      <c r="C39" s="12" t="s">
        <v>365</v>
      </c>
      <c r="D39" s="12" t="s">
        <v>366</v>
      </c>
      <c r="E39" s="12" t="s">
        <v>367</v>
      </c>
      <c r="F39" s="12" t="s">
        <v>368</v>
      </c>
      <c r="G39" s="12" t="s">
        <v>369</v>
      </c>
      <c r="H39" s="12" t="s">
        <v>226</v>
      </c>
      <c r="I39" s="12" t="s">
        <v>370</v>
      </c>
      <c r="J39" s="12" t="s">
        <v>362</v>
      </c>
      <c r="K39" s="12" t="s">
        <v>371</v>
      </c>
      <c r="L39" s="13" t="s">
        <v>45</v>
      </c>
    </row>
    <row r="40" customFormat="false" ht="23.85" hidden="false" customHeight="false" outlineLevel="0" collapsed="false">
      <c r="A40" s="10" t="s">
        <v>372</v>
      </c>
      <c r="B40" s="15" t="s">
        <v>6</v>
      </c>
      <c r="C40" s="12" t="s">
        <v>373</v>
      </c>
      <c r="D40" s="12" t="s">
        <v>374</v>
      </c>
      <c r="E40" s="12" t="s">
        <v>375</v>
      </c>
      <c r="F40" s="12" t="s">
        <v>376</v>
      </c>
      <c r="G40" s="12" t="s">
        <v>377</v>
      </c>
      <c r="H40" s="12" t="s">
        <v>378</v>
      </c>
      <c r="I40" s="12" t="s">
        <v>379</v>
      </c>
      <c r="J40" s="12" t="s">
        <v>362</v>
      </c>
      <c r="K40" s="12" t="s">
        <v>380</v>
      </c>
      <c r="L40" s="13" t="s">
        <v>45</v>
      </c>
    </row>
    <row r="41" customFormat="false" ht="23.85" hidden="false" customHeight="false" outlineLevel="0" collapsed="false">
      <c r="A41" s="10" t="s">
        <v>381</v>
      </c>
      <c r="B41" s="15" t="s">
        <v>6</v>
      </c>
      <c r="C41" s="12" t="s">
        <v>382</v>
      </c>
      <c r="D41" s="12" t="s">
        <v>342</v>
      </c>
      <c r="E41" s="12" t="s">
        <v>383</v>
      </c>
      <c r="F41" s="12" t="s">
        <v>384</v>
      </c>
      <c r="G41" s="12" t="s">
        <v>385</v>
      </c>
      <c r="H41" s="12" t="s">
        <v>386</v>
      </c>
      <c r="I41" s="12" t="s">
        <v>102</v>
      </c>
      <c r="J41" s="12" t="s">
        <v>362</v>
      </c>
      <c r="K41" s="12" t="s">
        <v>387</v>
      </c>
      <c r="L41" s="13" t="s">
        <v>45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6" t="s">
        <v>24</v>
      </c>
      <c r="B1" s="16" t="s">
        <v>388</v>
      </c>
    </row>
    <row r="2" customFormat="false" ht="15" hidden="false" customHeight="false" outlineLevel="0" collapsed="false">
      <c r="A2" s="17" t="s">
        <v>389</v>
      </c>
      <c r="B2" s="17" t="s">
        <v>390</v>
      </c>
    </row>
    <row r="3" customFormat="false" ht="15" hidden="false" customHeight="false" outlineLevel="0" collapsed="false">
      <c r="A3" s="17" t="s">
        <v>391</v>
      </c>
      <c r="B3" s="17" t="s">
        <v>392</v>
      </c>
    </row>
    <row r="4" customFormat="false" ht="15" hidden="false" customHeight="false" outlineLevel="0" collapsed="false">
      <c r="A4" s="17" t="s">
        <v>393</v>
      </c>
      <c r="B4" s="17" t="s">
        <v>394</v>
      </c>
    </row>
    <row r="5" customFormat="false" ht="15" hidden="false" customHeight="false" outlineLevel="0" collapsed="false">
      <c r="A5" s="17" t="s">
        <v>395</v>
      </c>
      <c r="B5" s="17" t="s">
        <v>396</v>
      </c>
    </row>
    <row r="6" customFormat="false" ht="15" hidden="false" customHeight="false" outlineLevel="0" collapsed="false">
      <c r="A6" s="17" t="s">
        <v>397</v>
      </c>
      <c r="B6" s="17" t="s">
        <v>398</v>
      </c>
    </row>
    <row r="7" customFormat="false" ht="15" hidden="false" customHeight="false" outlineLevel="0" collapsed="false">
      <c r="A7" s="17" t="s">
        <v>399</v>
      </c>
      <c r="B7" s="17" t="s">
        <v>400</v>
      </c>
    </row>
    <row r="8" customFormat="false" ht="15" hidden="false" customHeight="false" outlineLevel="0" collapsed="false">
      <c r="A8" s="17" t="s">
        <v>401</v>
      </c>
      <c r="B8" s="17" t="s">
        <v>402</v>
      </c>
    </row>
    <row r="9" customFormat="false" ht="15" hidden="false" customHeight="false" outlineLevel="0" collapsed="false">
      <c r="A9" s="17" t="s">
        <v>403</v>
      </c>
      <c r="B9" s="17" t="s">
        <v>404</v>
      </c>
    </row>
    <row r="10" customFormat="false" ht="15" hidden="false" customHeight="false" outlineLevel="0" collapsed="false">
      <c r="A10" s="17" t="s">
        <v>405</v>
      </c>
      <c r="B10" s="17" t="s">
        <v>406</v>
      </c>
    </row>
    <row r="11" customFormat="false" ht="15" hidden="false" customHeight="false" outlineLevel="0" collapsed="false">
      <c r="A11" s="17" t="s">
        <v>407</v>
      </c>
      <c r="B11" s="17" t="s">
        <v>400</v>
      </c>
    </row>
    <row r="12" customFormat="false" ht="15" hidden="false" customHeight="false" outlineLevel="0" collapsed="false">
      <c r="A12" s="17" t="s">
        <v>408</v>
      </c>
      <c r="B12" s="17" t="s">
        <v>409</v>
      </c>
    </row>
    <row r="13" customFormat="false" ht="15" hidden="false" customHeight="false" outlineLevel="0" collapsed="false">
      <c r="A13" s="17" t="s">
        <v>410</v>
      </c>
      <c r="B13" s="17" t="s">
        <v>400</v>
      </c>
    </row>
    <row r="14" customFormat="false" ht="15" hidden="false" customHeight="false" outlineLevel="0" collapsed="false">
      <c r="A14" s="17" t="s">
        <v>411</v>
      </c>
      <c r="B14" s="17" t="s">
        <v>400</v>
      </c>
    </row>
    <row r="15" customFormat="false" ht="15" hidden="false" customHeight="false" outlineLevel="0" collapsed="false">
      <c r="A15" s="17" t="s">
        <v>412</v>
      </c>
      <c r="B15" s="17" t="s">
        <v>413</v>
      </c>
    </row>
    <row r="16" customFormat="false" ht="15" hidden="false" customHeight="false" outlineLevel="0" collapsed="false">
      <c r="A16" s="17" t="s">
        <v>414</v>
      </c>
      <c r="B16" s="17" t="s">
        <v>415</v>
      </c>
    </row>
    <row r="17" customFormat="false" ht="15" hidden="false" customHeight="false" outlineLevel="0" collapsed="false">
      <c r="A17" s="17" t="s">
        <v>416</v>
      </c>
      <c r="B17" s="17" t="s">
        <v>417</v>
      </c>
    </row>
    <row r="18" customFormat="false" ht="15" hidden="false" customHeight="false" outlineLevel="0" collapsed="false">
      <c r="A18" s="17" t="s">
        <v>418</v>
      </c>
      <c r="B18" s="17" t="s">
        <v>419</v>
      </c>
    </row>
    <row r="19" customFormat="false" ht="15" hidden="false" customHeight="false" outlineLevel="0" collapsed="false">
      <c r="A19" s="17" t="s">
        <v>420</v>
      </c>
      <c r="B19" s="17" t="s">
        <v>419</v>
      </c>
    </row>
    <row r="20" customFormat="false" ht="15" hidden="false" customHeight="false" outlineLevel="0" collapsed="false">
      <c r="A20" s="17" t="s">
        <v>421</v>
      </c>
      <c r="B20" s="17" t="s">
        <v>400</v>
      </c>
    </row>
    <row r="21" customFormat="false" ht="15" hidden="false" customHeight="false" outlineLevel="0" collapsed="false">
      <c r="A21" s="17" t="s">
        <v>422</v>
      </c>
      <c r="B21" s="17" t="s">
        <v>423</v>
      </c>
    </row>
    <row r="22" customFormat="false" ht="15" hidden="false" customHeight="false" outlineLevel="0" collapsed="false">
      <c r="A22" s="17" t="s">
        <v>424</v>
      </c>
      <c r="B22" s="17" t="s">
        <v>425</v>
      </c>
    </row>
    <row r="23" customFormat="false" ht="15" hidden="false" customHeight="false" outlineLevel="0" collapsed="false">
      <c r="A23" s="17" t="s">
        <v>426</v>
      </c>
      <c r="B23" s="17" t="s">
        <v>427</v>
      </c>
    </row>
    <row r="24" customFormat="false" ht="15" hidden="false" customHeight="false" outlineLevel="0" collapsed="false">
      <c r="A24" s="17" t="s">
        <v>428</v>
      </c>
      <c r="B24" s="17" t="s">
        <v>429</v>
      </c>
    </row>
    <row r="25" customFormat="false" ht="15" hidden="false" customHeight="false" outlineLevel="0" collapsed="false">
      <c r="A25" s="17" t="s">
        <v>430</v>
      </c>
      <c r="B25" s="17" t="s">
        <v>431</v>
      </c>
    </row>
    <row r="26" customFormat="false" ht="15" hidden="false" customHeight="false" outlineLevel="0" collapsed="false">
      <c r="A26" s="17" t="s">
        <v>432</v>
      </c>
      <c r="B26" s="17" t="s">
        <v>433</v>
      </c>
    </row>
    <row r="27" customFormat="false" ht="15" hidden="false" customHeight="false" outlineLevel="0" collapsed="false">
      <c r="A27" s="17" t="s">
        <v>434</v>
      </c>
      <c r="B27" s="17" t="s">
        <v>400</v>
      </c>
    </row>
    <row r="28" customFormat="false" ht="15" hidden="false" customHeight="false" outlineLevel="0" collapsed="false">
      <c r="A28" s="17" t="s">
        <v>435</v>
      </c>
      <c r="B28" s="17" t="s">
        <v>419</v>
      </c>
    </row>
    <row r="29" customFormat="false" ht="15" hidden="false" customHeight="false" outlineLevel="0" collapsed="false">
      <c r="A29" s="17" t="s">
        <v>436</v>
      </c>
      <c r="B29" s="17" t="s">
        <v>400</v>
      </c>
    </row>
    <row r="30" customFormat="false" ht="15" hidden="false" customHeight="false" outlineLevel="0" collapsed="false">
      <c r="A30" s="17" t="s">
        <v>437</v>
      </c>
      <c r="B30" s="17" t="s">
        <v>438</v>
      </c>
    </row>
    <row r="31" customFormat="false" ht="15" hidden="false" customHeight="false" outlineLevel="0" collapsed="false">
      <c r="A31" s="17" t="s">
        <v>439</v>
      </c>
      <c r="B31" s="17" t="s">
        <v>419</v>
      </c>
    </row>
    <row r="32" customFormat="false" ht="15" hidden="false" customHeight="false" outlineLevel="0" collapsed="false">
      <c r="A32" s="17" t="s">
        <v>440</v>
      </c>
      <c r="B32" s="17" t="s">
        <v>441</v>
      </c>
    </row>
    <row r="33" customFormat="false" ht="15" hidden="false" customHeight="false" outlineLevel="0" collapsed="false">
      <c r="A33" s="17" t="s">
        <v>442</v>
      </c>
      <c r="B33" s="17" t="s">
        <v>429</v>
      </c>
    </row>
    <row r="34" customFormat="false" ht="15" hidden="false" customHeight="false" outlineLevel="0" collapsed="false">
      <c r="A34" s="17" t="s">
        <v>443</v>
      </c>
      <c r="B34" s="17" t="s">
        <v>444</v>
      </c>
    </row>
    <row r="35" customFormat="false" ht="15" hidden="false" customHeight="false" outlineLevel="0" collapsed="false">
      <c r="A35" s="17" t="s">
        <v>445</v>
      </c>
      <c r="B35" s="17" t="s">
        <v>419</v>
      </c>
    </row>
    <row r="36" customFormat="false" ht="15" hidden="false" customHeight="false" outlineLevel="0" collapsed="false">
      <c r="A36" s="17" t="s">
        <v>446</v>
      </c>
      <c r="B36" s="17" t="s">
        <v>433</v>
      </c>
    </row>
    <row r="37" customFormat="false" ht="15" hidden="false" customHeight="false" outlineLevel="0" collapsed="false">
      <c r="A37" s="17" t="s">
        <v>447</v>
      </c>
      <c r="B37" s="17" t="s">
        <v>448</v>
      </c>
    </row>
    <row r="38" customFormat="false" ht="15" hidden="false" customHeight="false" outlineLevel="0" collapsed="false">
      <c r="A38" s="17" t="s">
        <v>449</v>
      </c>
      <c r="B38" s="17" t="s">
        <v>450</v>
      </c>
    </row>
    <row r="39" customFormat="false" ht="15" hidden="false" customHeight="false" outlineLevel="0" collapsed="false">
      <c r="A39" s="17" t="s">
        <v>451</v>
      </c>
      <c r="B39" s="17" t="s">
        <v>452</v>
      </c>
    </row>
    <row r="40" customFormat="false" ht="15" hidden="false" customHeight="false" outlineLevel="0" collapsed="false">
      <c r="A40" s="17" t="s">
        <v>453</v>
      </c>
      <c r="B40" s="17" t="s">
        <v>454</v>
      </c>
    </row>
    <row r="41" customFormat="false" ht="15" hidden="false" customHeight="false" outlineLevel="0" collapsed="false">
      <c r="A41" s="17" t="s">
        <v>455</v>
      </c>
      <c r="B41" s="17" t="s">
        <v>400</v>
      </c>
    </row>
    <row r="42" customFormat="false" ht="15" hidden="false" customHeight="false" outlineLevel="0" collapsed="false">
      <c r="A42" s="17" t="s">
        <v>456</v>
      </c>
      <c r="B42" s="17" t="s">
        <v>431</v>
      </c>
    </row>
    <row r="43" customFormat="false" ht="15" hidden="false" customHeight="false" outlineLevel="0" collapsed="false">
      <c r="A43" s="17" t="s">
        <v>457</v>
      </c>
      <c r="B43" s="17" t="s">
        <v>458</v>
      </c>
    </row>
    <row r="44" customFormat="false" ht="15" hidden="false" customHeight="false" outlineLevel="0" collapsed="false">
      <c r="A44" s="17" t="s">
        <v>459</v>
      </c>
      <c r="B44" s="17" t="s">
        <v>460</v>
      </c>
    </row>
    <row r="45" customFormat="false" ht="15" hidden="false" customHeight="false" outlineLevel="0" collapsed="false">
      <c r="A45" s="17" t="s">
        <v>461</v>
      </c>
      <c r="B45" s="17" t="s">
        <v>462</v>
      </c>
    </row>
    <row r="46" customFormat="false" ht="15" hidden="false" customHeight="false" outlineLevel="0" collapsed="false">
      <c r="A46" s="17" t="s">
        <v>463</v>
      </c>
      <c r="B46" s="17" t="s">
        <v>464</v>
      </c>
    </row>
    <row r="47" customFormat="false" ht="15" hidden="false" customHeight="false" outlineLevel="0" collapsed="false">
      <c r="A47" s="17" t="s">
        <v>465</v>
      </c>
      <c r="B47" s="17" t="s">
        <v>400</v>
      </c>
    </row>
    <row r="48" customFormat="false" ht="15" hidden="false" customHeight="false" outlineLevel="0" collapsed="false">
      <c r="A48" s="17" t="s">
        <v>466</v>
      </c>
      <c r="B48" s="17" t="s">
        <v>419</v>
      </c>
    </row>
    <row r="49" customFormat="false" ht="15" hidden="false" customHeight="false" outlineLevel="0" collapsed="false">
      <c r="A49" s="17" t="s">
        <v>467</v>
      </c>
      <c r="B49" s="17" t="s">
        <v>400</v>
      </c>
    </row>
    <row r="50" customFormat="false" ht="15" hidden="false" customHeight="false" outlineLevel="0" collapsed="false">
      <c r="A50" s="17" t="s">
        <v>468</v>
      </c>
      <c r="B50" s="17" t="s">
        <v>469</v>
      </c>
    </row>
    <row r="51" customFormat="false" ht="15" hidden="false" customHeight="false" outlineLevel="0" collapsed="false">
      <c r="A51" s="17" t="s">
        <v>470</v>
      </c>
      <c r="B51" s="17" t="s">
        <v>400</v>
      </c>
    </row>
    <row r="52" customFormat="false" ht="15" hidden="false" customHeight="false" outlineLevel="0" collapsed="false">
      <c r="A52" s="17" t="s">
        <v>471</v>
      </c>
      <c r="B52" s="17" t="s">
        <v>472</v>
      </c>
    </row>
    <row r="53" customFormat="false" ht="15" hidden="false" customHeight="false" outlineLevel="0" collapsed="false">
      <c r="A53" s="17" t="s">
        <v>473</v>
      </c>
      <c r="B53" s="17" t="s">
        <v>474</v>
      </c>
    </row>
    <row r="54" customFormat="false" ht="15" hidden="false" customHeight="false" outlineLevel="0" collapsed="false">
      <c r="A54" s="17" t="s">
        <v>475</v>
      </c>
      <c r="B54" s="17" t="s">
        <v>400</v>
      </c>
    </row>
    <row r="55" customFormat="false" ht="15" hidden="false" customHeight="false" outlineLevel="0" collapsed="false">
      <c r="A55" s="17" t="s">
        <v>476</v>
      </c>
      <c r="B55" s="17" t="s">
        <v>419</v>
      </c>
    </row>
    <row r="56" customFormat="false" ht="15" hidden="false" customHeight="false" outlineLevel="0" collapsed="false">
      <c r="A56" s="17" t="s">
        <v>477</v>
      </c>
      <c r="B56" s="17" t="s">
        <v>478</v>
      </c>
    </row>
    <row r="57" customFormat="false" ht="15" hidden="false" customHeight="false" outlineLevel="0" collapsed="false">
      <c r="A57" s="17" t="s">
        <v>479</v>
      </c>
      <c r="B57" s="17" t="s">
        <v>480</v>
      </c>
    </row>
    <row r="58" customFormat="false" ht="15" hidden="false" customHeight="false" outlineLevel="0" collapsed="false">
      <c r="A58" s="17" t="s">
        <v>481</v>
      </c>
      <c r="B58" s="17" t="s">
        <v>419</v>
      </c>
    </row>
    <row r="59" customFormat="false" ht="15" hidden="false" customHeight="false" outlineLevel="0" collapsed="false">
      <c r="A59" s="17" t="s">
        <v>482</v>
      </c>
      <c r="B59" s="17" t="s">
        <v>448</v>
      </c>
    </row>
    <row r="60" customFormat="false" ht="15" hidden="false" customHeight="false" outlineLevel="0" collapsed="false">
      <c r="A60" s="17" t="s">
        <v>483</v>
      </c>
      <c r="B60" s="17" t="s">
        <v>419</v>
      </c>
    </row>
    <row r="61" customFormat="false" ht="15" hidden="false" customHeight="false" outlineLevel="0" collapsed="false">
      <c r="A61" s="17" t="s">
        <v>484</v>
      </c>
      <c r="B61" s="17" t="s">
        <v>485</v>
      </c>
    </row>
    <row r="62" customFormat="false" ht="15" hidden="false" customHeight="false" outlineLevel="0" collapsed="false">
      <c r="A62" s="17" t="s">
        <v>486</v>
      </c>
      <c r="B62" s="17" t="s">
        <v>400</v>
      </c>
    </row>
    <row r="63" customFormat="false" ht="15" hidden="false" customHeight="false" outlineLevel="0" collapsed="false">
      <c r="A63" s="17" t="s">
        <v>487</v>
      </c>
      <c r="B63" s="17" t="s">
        <v>488</v>
      </c>
    </row>
    <row r="64" customFormat="false" ht="15" hidden="false" customHeight="false" outlineLevel="0" collapsed="false">
      <c r="A64" s="17" t="s">
        <v>489</v>
      </c>
      <c r="B64" s="17" t="s">
        <v>490</v>
      </c>
    </row>
    <row r="65" customFormat="false" ht="15" hidden="false" customHeight="false" outlineLevel="0" collapsed="false">
      <c r="A65" s="17" t="s">
        <v>491</v>
      </c>
      <c r="B65" s="17" t="s">
        <v>492</v>
      </c>
    </row>
    <row r="66" customFormat="false" ht="15" hidden="false" customHeight="false" outlineLevel="0" collapsed="false">
      <c r="A66" s="17" t="s">
        <v>493</v>
      </c>
      <c r="B66" s="17" t="s">
        <v>494</v>
      </c>
    </row>
    <row r="67" customFormat="false" ht="15" hidden="false" customHeight="false" outlineLevel="0" collapsed="false">
      <c r="A67" s="17" t="s">
        <v>495</v>
      </c>
      <c r="B67" s="17" t="s">
        <v>496</v>
      </c>
    </row>
    <row r="68" customFormat="false" ht="15" hidden="false" customHeight="false" outlineLevel="0" collapsed="false">
      <c r="A68" s="17" t="s">
        <v>497</v>
      </c>
      <c r="B68" s="17" t="s">
        <v>498</v>
      </c>
    </row>
    <row r="69" customFormat="false" ht="15" hidden="false" customHeight="false" outlineLevel="0" collapsed="false">
      <c r="A69" s="17" t="s">
        <v>499</v>
      </c>
      <c r="B69" s="17" t="s">
        <v>500</v>
      </c>
    </row>
    <row r="70" customFormat="false" ht="15" hidden="false" customHeight="false" outlineLevel="0" collapsed="false">
      <c r="A70" s="17" t="s">
        <v>501</v>
      </c>
      <c r="B70" s="17" t="s">
        <v>502</v>
      </c>
    </row>
    <row r="71" customFormat="false" ht="15" hidden="false" customHeight="false" outlineLevel="0" collapsed="false">
      <c r="A71" s="17" t="s">
        <v>503</v>
      </c>
      <c r="B71" s="17" t="s">
        <v>504</v>
      </c>
    </row>
    <row r="72" customFormat="false" ht="15" hidden="false" customHeight="false" outlineLevel="0" collapsed="false">
      <c r="A72" s="17" t="s">
        <v>505</v>
      </c>
      <c r="B72" s="17" t="s">
        <v>506</v>
      </c>
    </row>
    <row r="73" customFormat="false" ht="15" hidden="false" customHeight="false" outlineLevel="0" collapsed="false">
      <c r="A73" s="17" t="s">
        <v>507</v>
      </c>
      <c r="B73" s="17" t="s">
        <v>508</v>
      </c>
    </row>
    <row r="74" customFormat="false" ht="15" hidden="false" customHeight="false" outlineLevel="0" collapsed="false">
      <c r="A74" s="17" t="s">
        <v>509</v>
      </c>
      <c r="B74" s="17" t="s">
        <v>510</v>
      </c>
    </row>
    <row r="75" customFormat="false" ht="15" hidden="false" customHeight="false" outlineLevel="0" collapsed="false">
      <c r="A75" s="17" t="s">
        <v>511</v>
      </c>
      <c r="B75" s="17" t="s">
        <v>512</v>
      </c>
    </row>
    <row r="76" customFormat="false" ht="15" hidden="false" customHeight="false" outlineLevel="0" collapsed="false">
      <c r="A76" s="17" t="s">
        <v>513</v>
      </c>
      <c r="B76" s="17" t="s">
        <v>514</v>
      </c>
    </row>
    <row r="77" customFormat="false" ht="15" hidden="false" customHeight="false" outlineLevel="0" collapsed="false">
      <c r="A77" s="17" t="s">
        <v>515</v>
      </c>
      <c r="B77" s="17" t="s">
        <v>516</v>
      </c>
    </row>
    <row r="78" customFormat="false" ht="15" hidden="false" customHeight="false" outlineLevel="0" collapsed="false">
      <c r="A78" s="17" t="s">
        <v>517</v>
      </c>
      <c r="B78" s="17" t="s">
        <v>518</v>
      </c>
    </row>
    <row r="79" customFormat="false" ht="15" hidden="false" customHeight="false" outlineLevel="0" collapsed="false">
      <c r="A79" s="17" t="s">
        <v>519</v>
      </c>
      <c r="B79" s="17" t="s">
        <v>520</v>
      </c>
    </row>
    <row r="80" customFormat="false" ht="15" hidden="false" customHeight="false" outlineLevel="0" collapsed="false">
      <c r="A80" s="17" t="s">
        <v>521</v>
      </c>
      <c r="B80" s="17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2026-10-07T11:20:37Z</dcterms:created>
  <dc:creator>openpyxl</dc:creator>
  <dc:description/>
  <dc:language>en-US</dc:language>
  <cp:lastModifiedBy/>
  <dcterms:modified xsi:type="dcterms:W3CDTF">2026-10-07T11:20:37Z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