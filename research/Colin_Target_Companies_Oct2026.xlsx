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Final Fits" sheetId="1" state="visible" r:id="rId1"/>
    <sheet xmlns:r="http://schemas.openxmlformats.org/officeDocument/2006/relationships" name="Backup 20-49 Employees" sheetId="2" state="visible" r:id="rId2"/>
    <sheet xmlns:r="http://schemas.openxmlformats.org/officeDocument/2006/relationships" name="Summary" sheetId="3" state="visible" r:id="rId3"/>
    <sheet xmlns:r="http://schemas.openxmlformats.org/officeDocument/2006/relationships" name="Targets" sheetId="4" state="visible" r:id="rId4"/>
    <sheet xmlns:r="http://schemas.openxmlformats.org/officeDocument/2006/relationships" name="Screened Out" sheetId="5" state="visible" r:id="rId5"/>
    <sheet xmlns:r="http://schemas.openxmlformats.org/officeDocument/2006/relationships" name="Run 2 Rejected" sheetId="6" state="visible" r:id="rId6"/>
    <sheet xmlns:r="http://schemas.openxmlformats.org/officeDocument/2006/relationships" name="Run 3-4 Rejected" sheetId="7" state="visible" r:id="rId7"/>
  </sheets>
  <definedNames>
    <definedName name="_xlnm._FilterDatabase" localSheetId="3" hidden="1">'Targets'!$A$1:$N$41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b val="1"/>
      <color rgb="00FFFFFF"/>
      <sz val="10"/>
    </font>
    <font>
      <name val="Arial"/>
      <sz val="10"/>
    </font>
  </fonts>
  <fills count="12">
    <fill>
      <patternFill/>
    </fill>
    <fill>
      <patternFill patternType="gray125"/>
    </fill>
    <fill>
      <patternFill patternType="solid">
        <fgColor rgb="FF1F3864"/>
        <bgColor rgb="FF333333"/>
      </patternFill>
    </fill>
    <fill>
      <patternFill patternType="solid">
        <fgColor rgb="FFE2EFDA"/>
        <bgColor rgb="FFF2F2F2"/>
      </patternFill>
    </fill>
    <fill>
      <patternFill patternType="solid">
        <fgColor rgb="FFFFF2CC"/>
        <bgColor rgb="FFF2F2F2"/>
      </patternFill>
    </fill>
    <fill>
      <patternFill patternType="solid">
        <fgColor rgb="FFF2F2F2"/>
        <bgColor rgb="FFE2EFDA"/>
      </patternFill>
    </fill>
    <fill>
      <patternFill patternType="solid">
        <fgColor rgb="FFC00000"/>
        <bgColor rgb="FF800000"/>
      </patternFill>
    </fill>
    <fill>
      <patternFill patternType="solid">
        <fgColor rgb="FFFFFF00"/>
        <bgColor rgb="FFFFFF00"/>
      </patternFill>
    </fill>
    <fill>
      <patternFill patternType="solid">
        <fgColor rgb="FFFFC7CE"/>
        <bgColor rgb="FFFFEB9C"/>
      </patternFill>
    </fill>
    <fill>
      <patternFill patternType="solid">
        <fgColor rgb="FFC6EFCE"/>
        <bgColor rgb="FFE2EFDA"/>
      </patternFill>
    </fill>
    <fill>
      <patternFill patternType="solid">
        <fgColor rgb="FFFFEB9C"/>
        <bgColor rgb="FFFFF2CC"/>
      </patternFill>
    </fill>
    <fill>
      <patternFill patternType="solid">
        <fgColor rgb="00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7" fillId="0" borderId="0" applyAlignment="1" pivotButton="0" quotePrefix="0" xfId="0">
      <alignment horizontal="general" vertical="bottom"/>
    </xf>
    <xf numFmtId="0" fontId="7" fillId="4" borderId="0" applyAlignment="1" pivotButton="0" quotePrefix="0" xfId="0">
      <alignment horizontal="general" vertical="bottom"/>
    </xf>
    <xf numFmtId="0" fontId="7" fillId="5" borderId="0"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1" applyAlignment="1" pivotButton="0" quotePrefix="0" xfId="0">
      <alignment horizontal="general" vertical="top" wrapText="1"/>
    </xf>
    <xf numFmtId="0" fontId="6" fillId="6" borderId="1" applyAlignment="1" pivotButton="0" quotePrefix="0" xfId="0">
      <alignment horizontal="general" vertical="bottom" wrapText="1"/>
    </xf>
    <xf numFmtId="0" fontId="8"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1" applyAlignment="1" pivotButton="0" quotePrefix="0" xfId="0">
      <alignment horizontal="general" vertical="top" wrapText="1"/>
    </xf>
    <xf numFmtId="0" fontId="7" fillId="7" borderId="1" applyAlignment="1" pivotButton="0" quotePrefix="0" xfId="0">
      <alignment horizontal="general" vertical="top" wrapText="1"/>
    </xf>
    <xf numFmtId="0" fontId="8" fillId="8" borderId="1" applyAlignment="1" pivotButton="0" quotePrefix="0" xfId="0">
      <alignment horizontal="general" vertical="top" wrapText="1"/>
    </xf>
    <xf numFmtId="0" fontId="8" fillId="9" borderId="1" applyAlignment="1" pivotButton="0" quotePrefix="0" xfId="0">
      <alignment horizontal="general" vertical="top" wrapText="1"/>
    </xf>
    <xf numFmtId="0" fontId="7" fillId="4" borderId="1" applyAlignment="1" pivotButton="0" quotePrefix="0" xfId="0">
      <alignment horizontal="general" vertical="top" wrapText="1"/>
    </xf>
    <xf numFmtId="0" fontId="8" fillId="10" borderId="1" applyAlignment="1" pivotButton="0" quotePrefix="0" xfId="0">
      <alignment horizontal="general" vertical="top" wrapText="1"/>
    </xf>
    <xf numFmtId="0" fontId="7" fillId="5" borderId="1" applyAlignment="1" pivotButton="0" quotePrefix="0" xfId="0">
      <alignment horizontal="general" vertical="top" wrapText="1"/>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0" fillId="0" borderId="0" pivotButton="0" quotePrefix="0" xfId="0"/>
    <xf numFmtId="0" fontId="9" fillId="11" borderId="0"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7" fillId="0" borderId="0" applyAlignment="1" pivotButton="0" quotePrefix="0" xfId="0">
      <alignment horizontal="general" vertical="bottom"/>
    </xf>
    <xf numFmtId="0" fontId="7" fillId="4" borderId="0" applyAlignment="1" pivotButton="0" quotePrefix="0" xfId="0">
      <alignment horizontal="general" vertical="bottom"/>
    </xf>
    <xf numFmtId="0" fontId="7" fillId="5" borderId="0" applyAlignment="1" pivotButton="0" quotePrefix="0" xfId="0">
      <alignment horizontal="general" vertical="bottom"/>
    </xf>
    <xf numFmtId="0" fontId="8" fillId="0" borderId="0" applyAlignment="1" pivotButton="0" quotePrefix="0" xfId="0">
      <alignment horizontal="general" vertical="bottom"/>
    </xf>
    <xf numFmtId="0" fontId="6" fillId="2" borderId="1" applyAlignment="1" pivotButton="0" quotePrefix="0" xfId="0">
      <alignment horizontal="general" vertical="top" wrapText="1"/>
    </xf>
    <xf numFmtId="0" fontId="6" fillId="6" borderId="1" applyAlignment="1" pivotButton="0" quotePrefix="0" xfId="0">
      <alignment horizontal="general" vertical="bottom" wrapText="1"/>
    </xf>
    <xf numFmtId="0" fontId="8"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1" applyAlignment="1" pivotButton="0" quotePrefix="0" xfId="0">
      <alignment horizontal="general" vertical="top" wrapText="1"/>
    </xf>
    <xf numFmtId="0" fontId="7" fillId="7" borderId="1" applyAlignment="1" pivotButton="0" quotePrefix="0" xfId="0">
      <alignment horizontal="general" vertical="top" wrapText="1"/>
    </xf>
    <xf numFmtId="0" fontId="8" fillId="8" borderId="1" applyAlignment="1" pivotButton="0" quotePrefix="0" xfId="0">
      <alignment horizontal="general" vertical="top" wrapText="1"/>
    </xf>
    <xf numFmtId="0" fontId="8" fillId="9" borderId="1" applyAlignment="1" pivotButton="0" quotePrefix="0" xfId="0">
      <alignment horizontal="general" vertical="top" wrapText="1"/>
    </xf>
    <xf numFmtId="0" fontId="7" fillId="4" borderId="1" applyAlignment="1" pivotButton="0" quotePrefix="0" xfId="0">
      <alignment horizontal="general" vertical="top" wrapText="1"/>
    </xf>
    <xf numFmtId="0" fontId="8" fillId="10" borderId="1" applyAlignment="1" pivotButton="0" quotePrefix="0" xfId="0">
      <alignment horizontal="general" vertical="top" wrapText="1"/>
    </xf>
    <xf numFmtId="0" fontId="7" fillId="5" borderId="1" applyAlignment="1" pivotButton="0" quotePrefix="0" xfId="0">
      <alignment horizontal="general" vertical="top" wrapText="1"/>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9" fillId="11" borderId="0" pivotButton="0" quotePrefix="0" xfId="0"/>
    <xf numFmtId="0" fontId="1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00"/>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22" customWidth="1" style="25" min="1" max="1"/>
    <col width="20" customWidth="1" style="25" min="2" max="2"/>
    <col width="18" customWidth="1" style="25" min="3" max="3"/>
    <col width="16" customWidth="1" style="25" min="4" max="4"/>
    <col width="26" customWidth="1" style="25" min="5" max="5"/>
    <col width="44" customWidth="1" style="25" min="6" max="6"/>
    <col width="44" customWidth="1" style="25" min="7" max="7"/>
    <col width="38" customWidth="1" style="25" min="8" max="8"/>
    <col width="60" customWidth="1" style="25" min="9" max="9"/>
  </cols>
  <sheetData>
    <row r="1">
      <c r="A1" s="26" t="inlineStr">
        <is>
          <t>Company</t>
        </is>
      </c>
      <c r="B1" s="26" t="inlineStr">
        <is>
          <t>Status</t>
        </is>
      </c>
      <c r="C1" s="26" t="inlineStr">
        <is>
          <t>HQ</t>
        </is>
      </c>
      <c r="D1" s="26" t="inlineStr">
        <is>
          <t>Employees</t>
        </is>
      </c>
      <c r="E1" s="26" t="inlineStr">
        <is>
          <t>CEO</t>
        </is>
      </c>
      <c r="F1" s="26" t="inlineStr">
        <is>
          <t>What they do</t>
        </is>
      </c>
      <c r="G1" s="26" t="inlineStr">
        <is>
          <t>Sales/BD people found</t>
        </is>
      </c>
      <c r="H1" s="26" t="inlineStr">
        <is>
          <t>Check before outreach</t>
        </is>
      </c>
      <c r="I1" s="26" t="inlineStr">
        <is>
          <t>Evidence</t>
        </is>
      </c>
    </row>
    <row r="2">
      <c r="A2" s="27" t="inlineStr">
        <is>
          <t>Senra Systems</t>
        </is>
      </c>
      <c r="B2" s="27" t="inlineStr">
        <is>
          <t>PASS</t>
        </is>
      </c>
      <c r="C2" s="27" t="inlineStr">
        <is>
          <t>Cypress, CA</t>
        </is>
      </c>
      <c r="D2" s="27" t="inlineStr">
        <is>
          <t>65+</t>
        </is>
      </c>
      <c r="E2" s="27" t="inlineStr">
        <is>
          <t>Jordan Black (co-founder/CEO)</t>
        </is>
      </c>
      <c r="F2" s="27" t="inlineStr">
        <is>
          <t>Software-driven wire-harness manufacturing; $65M Series B Jul 2026</t>
        </is>
      </c>
      <c r="G2" s="27" t="inlineStr">
        <is>
          <t>None surfaced on LinkedIn or press</t>
        </is>
      </c>
      <c r="H2" s="27" t="inlineStr">
        <is>
          <t>-</t>
        </is>
      </c>
      <c r="I2" s="27" t="inlineStr">
        <is>
          <t>https://pulse2.com/senra-systems-announces-65-million-series-b-and-plans-for-third-manufacturing-facility/ ; https://www.linkedin.com/company/senra-systems</t>
        </is>
      </c>
    </row>
    <row r="3">
      <c r="A3" s="27" t="inlineStr">
        <is>
          <t>GrayMatter Robotics</t>
        </is>
      </c>
      <c r="B3" s="27" t="inlineStr">
        <is>
          <t>PASS - confirm 1 item</t>
        </is>
      </c>
      <c r="C3" s="27" t="inlineStr">
        <is>
          <t>Los Angeles area, CA</t>
        </is>
      </c>
      <c r="D3" s="27" t="inlineStr">
        <is>
          <t>75-124</t>
        </is>
      </c>
      <c r="E3" s="27" t="inlineStr">
        <is>
          <t>Ariyan Kabir</t>
        </is>
      </c>
      <c r="F3" s="27" t="inlineStr">
        <is>
          <t>AI robotic cells for high-mix manufacturing (sanding, polishing, spraying); $71M raised</t>
        </is>
      </c>
      <c r="G3" s="27" t="inlineStr">
        <is>
          <t>IC only: Joe Dyer (Account Manager), Matt Cohen (BD, ex-SDR), Rand Owens (growth marketer)</t>
        </is>
      </c>
      <c r="H3" s="27" t="inlineStr">
        <is>
          <t>Confirm Rand Owens' title is not Head of Growth</t>
        </is>
      </c>
      <c r="I3" s="27" t="inlineStr">
        <is>
          <t>https://www.linkedin.com/in/randowens/ ; https://www.linkedin.com/in/joedyerreal/</t>
        </is>
      </c>
    </row>
    <row r="4">
      <c r="A4" s="27" t="inlineStr">
        <is>
          <t>Multiply Labs</t>
        </is>
      </c>
      <c r="B4" s="27" t="inlineStr">
        <is>
          <t>LIKELY - verify</t>
        </is>
      </c>
      <c r="C4" s="27" t="inlineStr">
        <is>
          <t>San Francisco, CA</t>
        </is>
      </c>
      <c r="D4" s="27" t="inlineStr">
        <is>
          <t>~79 (ZoomInfo/LeadIQ)</t>
        </is>
      </c>
      <c r="E4" s="27" t="inlineStr">
        <is>
          <t>Fred Parietti (co-founder/CEO)</t>
        </is>
      </c>
      <c r="F4" s="27" t="inlineStr">
        <is>
          <t>Robotic GMP manufacturing for cell &amp; gene therapy; $40M+ raised + $85M Retro Bio partnership</t>
        </is>
      </c>
      <c r="G4" s="27" t="inlineStr">
        <is>
          <t>~2 commercial ICs; Raquel Ibanez 'Director, Strategic Alliance'; hiring first Senior Strategic Account Manager</t>
        </is>
      </c>
      <c r="H4" s="27" t="inlineStr">
        <is>
          <t>Confirm Raquel Ibanez's title is not BD director; confirm sales headcount &lt;=2</t>
        </is>
      </c>
      <c r="I4" s="27" t="inlineStr">
        <is>
          <t>https://theorg.com/org/multiply-labs/org-chart/fred-parietti ; https://leadiq.com/c/multiply-labs/5a1dac842300005200a1cfa8/employee-directory ; https://jobs.luxcapital.com/companies/multiply-labs/jobs/62817164-senior-strategic-account-manager-cell-therapy</t>
        </is>
      </c>
    </row>
    <row r="5">
      <c r="A5" s="27" t="inlineStr">
        <is>
          <t>Phaidra</t>
        </is>
      </c>
      <c r="B5" s="27" t="inlineStr">
        <is>
          <t>CONDITIONAL</t>
        </is>
      </c>
      <c r="C5" s="27" t="inlineStr">
        <is>
          <t>Seattle, WA</t>
        </is>
      </c>
      <c r="D5" s="27" t="inlineStr">
        <is>
          <t>~91</t>
        </is>
      </c>
      <c r="E5" s="27" t="inlineStr">
        <is>
          <t>Jim Gao</t>
        </is>
      </c>
      <c r="F5" s="27" t="inlineStr">
        <is>
          <t>AI control agents for industrial plants and data centers; $80.5M raised</t>
        </is>
      </c>
      <c r="G5" s="27" t="inlineStr">
        <is>
          <t>No CRO/VP Sales; President/CSO Robert Locke; hiring BD Lead</t>
        </is>
      </c>
      <c r="H5" s="27" t="inlineStr">
        <is>
          <t>Check whether Robert Locke runs commercial</t>
        </is>
      </c>
      <c r="I5" s="27" t="inlineStr">
        <is>
          <t>https://www.linkedin.com/in/robertblocke/ ; https://seedtable.com/companies/phaidra</t>
        </is>
      </c>
    </row>
    <row r="6">
      <c r="A6" s="27" t="inlineStr">
        <is>
          <t>Instrumental</t>
        </is>
      </c>
      <c r="B6" s="27" t="inlineStr">
        <is>
          <t>CONDITIONAL</t>
        </is>
      </c>
      <c r="C6" s="27" t="inlineStr">
        <is>
          <t>SF Bay Area, CA</t>
        </is>
      </c>
      <c r="D6" s="27" t="inlineStr">
        <is>
          <t>75+</t>
        </is>
      </c>
      <c r="E6" s="27" t="inlineStr">
        <is>
          <t>Anna-Katrina Shedletsky</t>
        </is>
      </c>
      <c r="F6" s="27" t="inlineStr">
        <is>
          <t>AI quality platform for electronics manufacturing; $81.7M + NVentures</t>
        </is>
      </c>
      <c r="G6" s="27" t="inlineStr">
        <is>
          <t>None surfaced</t>
        </is>
      </c>
      <c r="H6" s="27" t="inlineStr">
        <is>
          <t>Check LinkedIn People tab for sales titles</t>
        </is>
      </c>
      <c r="I6" s="27" t="inlineStr">
        <is>
          <t>https://www.linkedin.com/company/instrumental-inc.</t>
        </is>
      </c>
    </row>
    <row r="7">
      <c r="A7" s="27" t="inlineStr">
        <is>
          <t>Rhoda AI</t>
        </is>
      </c>
      <c r="B7" s="27" t="inlineStr">
        <is>
          <t>BORDERLINE</t>
        </is>
      </c>
      <c r="C7" s="27" t="inlineStr">
        <is>
          <t>Palo Alto, CA</t>
        </is>
      </c>
      <c r="D7" s="27" t="inlineStr">
        <is>
          <t>~73-86</t>
        </is>
      </c>
      <c r="E7" s="27" t="inlineStr">
        <is>
          <t>Jagdeep Singh (co-founder; ex-QuantumScape CEO)</t>
        </is>
      </c>
      <c r="F7" s="27" t="inlineStr">
        <is>
          <t>Video-trained robot foundation model for high-variability manufacturing tasks</t>
        </is>
      </c>
      <c r="G7" s="27" t="inlineStr">
        <is>
          <t>None found; only marketing roles open</t>
        </is>
      </c>
      <c r="H7" s="27" t="inlineStr">
        <is>
          <t>Sector partly general/logistics; $450M raised - may want full-time CRO</t>
        </is>
      </c>
      <c r="I7" s="27" t="inlineStr">
        <is>
          <t>https://www.zoominfo.com/c/rhoda-ai/5000717507 ; https://www.assemblymag.com/articles/99908-new-robotic-ai-platform-targets-high-variability-manufacturing-tasks</t>
        </is>
      </c>
    </row>
    <row r="8">
      <c r="A8" s="51" t="inlineStr">
        <is>
          <t>Cellino</t>
        </is>
      </c>
      <c r="B8" s="27" t="inlineStr">
        <is>
          <t>UNSURE</t>
        </is>
      </c>
      <c r="C8" s="27" t="inlineStr">
        <is>
          <t>Cambridge, MA</t>
        </is>
      </c>
      <c r="D8" s="27" t="inlineStr">
        <is>
          <t>51-200 (~80)</t>
        </is>
      </c>
      <c r="E8" s="27" t="inlineStr">
        <is>
          <t>Nabiha Saklayen (co-founder/CEO)</t>
        </is>
      </c>
      <c r="F8" s="27" t="inlineStr">
        <is>
          <t>AI/laser autonomous biomanufacturing platform for iPSC cell therapies; $80M Series A + ARPA-H up to $25M</t>
        </is>
      </c>
      <c r="G8" s="27" t="inlineStr">
        <is>
          <t>No current sales/BD title; Chief of Staff &amp; Head of Strategy Becky Kusko was VP Head of BD 2021-23</t>
        </is>
      </c>
      <c r="H8" s="27" t="inlineStr">
        <is>
          <t>Mostly a biotech with partnership-style deals - may not need a B2B sales motion</t>
        </is>
      </c>
      <c r="I8" s="27" t="inlineStr">
        <is>
          <t>https://theorg.com/org/cellino/org-chart/rebecca-kusko ; https://www.zoominfo.com/c/cellino-biotech-inc/457806160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0" customWidth="1" style="25" min="1" max="1"/>
    <col width="22" customWidth="1" style="25" min="2" max="2"/>
    <col width="22" customWidth="1" style="25" min="3" max="3"/>
    <col width="30" customWidth="1" style="25" min="4" max="4"/>
    <col width="50" customWidth="1" style="25" min="5" max="5"/>
    <col width="55" customWidth="1" style="25" min="6" max="6"/>
    <col width="60" customWidth="1" style="25" min="7" max="7"/>
  </cols>
  <sheetData>
    <row r="1">
      <c r="A1" s="26" t="inlineStr">
        <is>
          <t>Company</t>
        </is>
      </c>
      <c r="B1" s="26" t="inlineStr">
        <is>
          <t>HQ</t>
        </is>
      </c>
      <c r="C1" s="26" t="inlineStr">
        <is>
          <t>Employees</t>
        </is>
      </c>
      <c r="D1" s="26" t="inlineStr">
        <is>
          <t>CEO</t>
        </is>
      </c>
      <c r="E1" s="26" t="inlineStr">
        <is>
          <t>What they do</t>
        </is>
      </c>
      <c r="F1" s="26" t="inlineStr">
        <is>
          <t>Sales/BD people found</t>
        </is>
      </c>
      <c r="G1" s="26" t="inlineStr">
        <is>
          <t>Evidence</t>
        </is>
      </c>
    </row>
    <row r="2">
      <c r="A2" s="27" t="inlineStr">
        <is>
          <t>FemtoMetrix</t>
        </is>
      </c>
      <c r="B2" s="27" t="inlineStr">
        <is>
          <t>Irvine, CA, USA</t>
        </is>
      </c>
      <c r="C2" s="27" t="inlineStr">
        <is>
          <t>10-50 according to SignalHire and ZoomInfo. The exact number and whether headcount is growing are not confirmed. It could be under 20.</t>
        </is>
      </c>
      <c r="D2" s="27" t="inlineStr">
        <is>
          <t>Alon Raphael (President &amp; CEO)</t>
        </is>
      </c>
      <c r="E2" s="27" t="inlineStr">
        <is>
          <t>Optical second-harmonic-generation (SHG) inspection and metrology for non-visual defects on semiconductor wafers (Harmonic F1x system), sold to fabs.</t>
        </is>
      </c>
      <c r="F2" s="27" t="inlineStr">
        <is>
          <t>None found. The leadership found is the CEO, CFO Tyler Rubin, CTO David Adler, EVP R&amp;D Andy Antonelli, VP Applications Kenneth James (a technical applications role, not sales), VP Engineering Timothy Wong and co-founder Hovik Nazaryan. The people listed as Directors on theorg are board members (Tom Rolfes, Charles W. Kim, Sung Hoon Yang, Wojtek Uzdelewicz). Low confidence: no sales or account-manager titles turned up, but the directories have little data on this company.</t>
        </is>
      </c>
      <c r="G2" s="27" t="inlineStr">
        <is>
          <t>https://theorg.com/org/femtometrix ; https://theorg.com/org/femtometrix/org-chart/alon-raphael ; https://theorg.com/org/femtometrix/teams/leadership-team ; https://www.signalhire.com/companies/femtometrix-inc ; https://www.zoominfo.com/c/femtometrix-inc/363685298</t>
        </is>
      </c>
    </row>
    <row r="3">
      <c r="A3" s="27" t="inlineStr">
        <is>
          <t>Sepion Technologies</t>
        </is>
      </c>
      <c r="B3" s="27" t="inlineStr">
        <is>
          <t>Emeryville, CA, USA</t>
        </is>
      </c>
      <c r="C3" s="27" t="inlineStr">
        <is>
          <t>~24 (ZoomInfo/LeadIQ, Aug 2026); raised a $10M Series B, so not shrinking as far as I can tell</t>
        </is>
      </c>
      <c r="D3" s="27" t="inlineStr">
        <is>
          <t>Peter Frischmann (CEO &amp; Co-Founder)</t>
        </is>
      </c>
      <c r="E3" s="27" t="inlineStr">
        <is>
          <t>Nanoengineered separator coatings and electrolyte technology for lithium-ion and lithium-metal cell makers. It has moved from concept onto commercial production lines and won Best Commercialization Venture at the 2025 NREL Industry Growth Forum.</t>
        </is>
      </c>
      <c r="F3" s="27" t="inlineStr">
        <is>
          <t>None found. The directory leadership is CEO Peter Frischmann, Co-Founder &amp; CSO Brett Helms, CTO Brian Sisk, VP Operations Muhammad Zahid Shafi and Director of R&amp;D Adam Ozvald. LinkedIn search showed no sales, business development or account manager staff or postings. Sales appears to be led by the CEO. Caveat: Sepion sells a coating material and process to battery manufacturers rather than equipment, so the sector fit is borderline.</t>
        </is>
      </c>
      <c r="G3" s="27" t="inlineStr">
        <is>
          <t>https://leadiq.com/c/sepion-technologies/5e1e9ab662be9f43cad80d77/employee-directory ; https://www.zoominfo.com/pic/sepion-technologies-inc/528170000 ; https://theorg.com/org/sepion-technologies ; https://www.linkedin.com/company/sepion-technologies ; https://www.linkedin.com/in/peterfrischmann/</t>
        </is>
      </c>
    </row>
    <row r="4">
      <c r="A4" s="27" t="inlineStr">
        <is>
          <t>SnapMagic (formerly SnapEDA)</t>
        </is>
      </c>
      <c r="B4" s="27" t="inlineStr">
        <is>
          <t>San Francisco / San Mateo, CA, USA</t>
        </is>
      </c>
      <c r="C4" s="27" t="inlineStr">
        <is>
          <t>About 23 (LeadIQ, Aug 2026); the largest department is engineering with 7 people</t>
        </is>
      </c>
      <c r="D4" s="27" t="inlineStr">
        <is>
          <t>Natasha Baker (Founder &amp; CEO)</t>
        </is>
      </c>
      <c r="E4" s="27" t="inlineStr">
        <is>
          <t>Electronic component libraries (CAD symbols and footprints) and SnapMagic Copilot, an AI assistant for circuit-board designers. Its money comes mainly from electronic-component manufacturers who sponsor and promote their parts to 1.5M+ engineers.</t>
        </is>
      </c>
      <c r="F4" s="27" t="inlineStr">
        <is>
          <t>No current sales leader found in any directory or LinkedIn result. LinkedIn shows an older req for a Senior Account Executive (Redwood City, $260-300K OTE, around 2024), which points to at most one senior AE. Sales looks founder-led. WEAK: the sector fit is borderline (EDA content sold to component makers' marketing teams), and I could not confirm whether the AE role was filled or whether the company is growing.</t>
        </is>
      </c>
      <c r="G4" s="27" t="inlineStr">
        <is>
          <t>https://leadiq.com/c/snapmagic/5a1dac6b2300005e00a1ad20/employee-directory ; https://www.linkedin.com/jobs/view/senior-account-executive-at-snapmagic-3815155776 ; https://www.linkedin.com/in/natashaabaker ; https://theorg.com/org/snapeda/org-chart/natasha-baker</t>
        </is>
      </c>
    </row>
    <row r="5">
      <c r="A5" s="27" t="inlineStr">
        <is>
          <t>Tacta Systems</t>
        </is>
      </c>
      <c r="B5" s="27" t="inlineStr">
        <is>
          <t>Palo Alto, CA</t>
        </is>
      </c>
      <c r="C5" s="27" t="inlineStr">
        <is>
          <t>26-45 (ZoomInfo/RocketReach range)</t>
        </is>
      </c>
      <c r="D5" s="27" t="inlineStr">
        <is>
          <t>Vikram Pavate (co-founder; CEO since 2025, previously COO)</t>
        </is>
      </c>
      <c r="E5" s="27" t="inlineStr">
        <is>
          <t>Tactile-sensing robotic hands plus 'Dextrous Intelligence' AI that captures skilled workers' hand data to automate high-value manufacturing tasks. Raised a $75M seed plus Series A (Matter VP, America's Frontier Fund, SBVA).</t>
        </is>
      </c>
      <c r="F5" s="27" t="inlineStr">
        <is>
          <t>None found. The named team is technical: Nahid Harjee (co-founder, VP Sensing), Harry Su (Head of Robotics Engineering) and Dariusz Golda (CTO). Rafer Chambers and Monica Valadez appear in directories with roles unknown and should be confirmed.</t>
        </is>
      </c>
      <c r="G5" s="27" t="inlineStr">
        <is>
          <t>https://rocketreach.co/tacta-systems-inc-management_b6827591c9fe6594 ; https://www.zoominfo.com/pic/tacta-systems-inc/5000066361 ; https://www.linkedin.com/in/vikram-pavate-7743884/ ; https://seedtable.com/companies/tacta-systems/funding-rounds/series-a-2025-06</t>
        </is>
      </c>
    </row>
    <row r="6">
      <c r="A6" s="27" t="inlineStr">
        <is>
          <t>HEBI Robotics</t>
        </is>
      </c>
      <c r="B6" s="27" t="inlineStr">
        <is>
          <t>Pittsburgh, PA</t>
        </is>
      </c>
      <c r="C6" s="27" t="inlineStr">
        <is>
          <t>11-50 per LinkedIn and ZoomInfo; exact count unverified and may be under 20</t>
        </is>
      </c>
      <c r="D6" s="27" t="inlineStr">
        <is>
          <t>Bob Raida (former VP Business Development and COO, now CEO)</t>
        </is>
      </c>
      <c r="E6" s="27" t="inlineStr">
        <is>
          <t>Modular robotic actuators and robot-building tools sold to engineers, OEMs and industrial inspection or maintenance robot builders.</t>
        </is>
      </c>
      <c r="F6" s="27" t="inlineStr">
        <is>
          <t>None besides the CEO, whose background is BD, so sales is CEO-led. Other named leaders are Dave Rollinson (CTO) and Allison Sciullo (Director of Project Management). No sales staff appeared in the directories.</t>
        </is>
      </c>
      <c r="G6" s="27" t="inlineStr">
        <is>
          <t>https://www.therobotreport.com/hebi-robotics-promotes-raida-to-ceo-rollinson-to-cto/ ; https://rocketreach.co/hebi-robotics-management_b566cc3ef650276e ; https://www.zoominfo.com/pic/hebi-robotics/404083014 ; https://www.linkedin.com/company/hebi-robotics</t>
        </is>
      </c>
    </row>
    <row r="7">
      <c r="A7" s="27" t="inlineStr">
        <is>
          <t>Software Defined Automation (SDA)</t>
        </is>
      </c>
      <c r="B7" s="27" t="inlineStr">
        <is>
          <t>Boston, MA (stated HQ; European office in Munich, founded in Germany)</t>
        </is>
      </c>
      <c r="C7" s="27" t="inlineStr">
        <is>
          <t>34 (RocketReach)</t>
        </is>
      </c>
      <c r="D7" s="27" t="inlineStr">
        <is>
          <t>Josef Waltl (co-founder)</t>
        </is>
      </c>
      <c r="E7" s="27" t="inlineStr">
        <is>
          <t>Industrial DevOps / software-defined PLC platform: versioning, virtualization and management of PLC and controller code across multi-vendor factories. $10M seed led by Insight Partners.</t>
        </is>
      </c>
      <c r="F7" s="27" t="inlineStr">
        <is>
          <t>Jason Silva, 'Principal Sales Manager', per RocketReach's management list. This looks like an individual-contributor title but it was not verified in a LinkedIn result title. If he leads a team, the company fails rule 4. The real HQ (Boston or Munich) also needs confirming.</t>
        </is>
      </c>
      <c r="G7" s="27" t="inlineStr">
        <is>
          <t>https://rocketreach.co/software-defined-automation-management_b7e9ea81c2af2227 ; https://www.linkedin.com/in/josefwaltl/ ; https://theorg.com/org/software-defined-automation?p=josef-waltl</t>
        </is>
      </c>
    </row>
    <row r="8">
      <c r="A8" s="27" t="inlineStr">
        <is>
          <t>Harmoni</t>
        </is>
      </c>
      <c r="B8" s="27" t="inlineStr">
        <is>
          <t>US</t>
        </is>
      </c>
      <c r="C8" s="27" t="inlineStr">
        <is>
          <t>~21</t>
        </is>
      </c>
      <c r="D8" s="27" t="inlineStr">
        <is>
          <t>-</t>
        </is>
      </c>
      <c r="E8" s="27" t="inlineStr">
        <is>
          <t>Manufacturing AI (Series A Sept 2026)</t>
        </is>
      </c>
      <c r="F8" s="27" t="inlineStr">
        <is>
          <t>No sales leader found (failed on size only)</t>
        </is>
      </c>
      <c r="G8" s="27" t="inlineStr">
        <is>
          <t>-</t>
        </is>
      </c>
    </row>
    <row r="9">
      <c r="A9" s="27" t="inlineStr">
        <is>
          <t>Leela AI</t>
        </is>
      </c>
      <c r="B9" s="27" t="inlineStr">
        <is>
          <t>Cambridge, MA</t>
        </is>
      </c>
      <c r="C9" s="27" t="inlineStr">
        <is>
          <t>~21</t>
        </is>
      </c>
      <c r="D9" s="27" t="inlineStr">
        <is>
          <t>-</t>
        </is>
      </c>
      <c r="E9" s="27" t="inlineStr">
        <is>
          <t>Visual AI for manufacturing operations</t>
        </is>
      </c>
      <c r="F9" s="27" t="inlineStr">
        <is>
          <t>No sales leader found (failed on size only)</t>
        </is>
      </c>
      <c r="G9" s="27" t="inlineStr">
        <is>
          <t>-</t>
        </is>
      </c>
    </row>
    <row r="10">
      <c r="A10" s="27" t="inlineStr">
        <is>
          <t>Invisible AI</t>
        </is>
      </c>
      <c r="B10" s="27" t="inlineStr">
        <is>
          <t>San Francisco, CA</t>
        </is>
      </c>
      <c r="C10" s="27" t="inlineStr">
        <is>
          <t>11-50 (LinkedIn)</t>
        </is>
      </c>
      <c r="D10" s="27" t="inlineStr">
        <is>
          <t>Eric Danziger</t>
        </is>
      </c>
      <c r="E10" s="27" t="inlineStr">
        <is>
          <t>Computer vision for manual assembly lines (Toyota)</t>
        </is>
      </c>
      <c r="F10" s="27" t="inlineStr">
        <is>
          <t>Senior Sales Executive only; last raise 2022</t>
        </is>
      </c>
      <c r="G10" s="27" t="inlineStr">
        <is>
          <t>https://www.linkedin.com/company/invisibleai</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8" min="1" max="1"/>
    <col width="10" customWidth="1" style="28" min="2" max="2"/>
  </cols>
  <sheetData>
    <row r="1" ht="17.25" customHeight="1" s="25">
      <c r="A1" s="29" t="inlineStr">
        <is>
          <t>Colin (Starmay Ventures) - Fractional CRO Target List</t>
        </is>
      </c>
    </row>
    <row r="2" ht="15" customHeight="1" s="25">
      <c r="A2" s="30" t="inlineStr">
        <is>
          <t>Prepared by Galacticbuzz, 7 Oct 2026. Research from public web sources (job boards, funding news, data aggregators).</t>
        </is>
      </c>
    </row>
    <row r="4" ht="15" customHeight="1" s="25">
      <c r="A4" s="31" t="inlineStr">
        <is>
          <t>Tier</t>
        </is>
      </c>
      <c r="B4" s="31" t="inlineStr">
        <is>
          <t>Count</t>
        </is>
      </c>
    </row>
    <row r="5" ht="15" customHeight="1" s="25">
      <c r="A5" s="32" t="inlineStr">
        <is>
          <t>Tier 1 - Strong fit</t>
        </is>
      </c>
      <c r="B5" s="33">
        <f>COUNTIF(Targets!$B:$B,A5)</f>
        <v/>
      </c>
    </row>
    <row r="6" ht="15" customHeight="1" s="25">
      <c r="A6" s="34" t="inlineStr">
        <is>
          <t>Tier 2 - Fit, verify 1 item</t>
        </is>
      </c>
      <c r="B6" s="33">
        <f>COUNTIF(Targets!$B:$B,A6)</f>
        <v/>
      </c>
    </row>
    <row r="7" ht="15" customHeight="1" s="25">
      <c r="A7" s="35" t="inlineStr">
        <is>
          <t>Tier 3 - Near-miss</t>
        </is>
      </c>
      <c r="B7" s="33">
        <f>COUNTIF(Targets!$B:$B,A7)</f>
        <v/>
      </c>
    </row>
    <row r="8" ht="15" customHeight="1" s="25">
      <c r="A8" s="36" t="inlineStr">
        <is>
          <t>Total</t>
        </is>
      </c>
      <c r="B8" s="36">
        <f>SUM(B5:B7)</f>
        <v/>
      </c>
    </row>
    <row r="9" ht="15" customHeight="1" s="25">
      <c r="A9" s="33" t="inlineStr">
        <is>
          <t>Companies screened out</t>
        </is>
      </c>
      <c r="B9" s="33">
        <f>COUNTA('Screened Out'!A:A)-1</f>
        <v/>
      </c>
    </row>
    <row r="11" ht="15" customHeight="1" s="25">
      <c r="A11" s="36" t="inlineStr">
        <is>
          <t>Criteria applied</t>
        </is>
      </c>
    </row>
    <row r="12" ht="15" customHeight="1" s="25">
      <c r="A12" s="33" t="inlineStr">
        <is>
          <t>1. No CRO, VP Sales, Head of Sales, CCO, CBO or co-founder explicitly running sales found in public sources.</t>
        </is>
      </c>
    </row>
    <row r="13" ht="15" customHeight="1" s="25">
      <c r="A13" s="33" t="inlineStr">
        <is>
          <t>2. 50+ employees (Tier 3 includes near-misses just below or above range).</t>
        </is>
      </c>
    </row>
    <row r="14" ht="15" customHeight="1" s="25">
      <c r="A14" s="33" t="inlineStr">
        <is>
          <t>3. Headcount stable or growing (shrinking companies excluded, per the Covariant lesson).</t>
        </is>
      </c>
    </row>
    <row r="15" ht="15" customHeight="1" s="25">
      <c r="A15" s="33" t="inlineStr">
        <is>
          <t>4. B2B with a sales motion Colin can build: industrial AI, robotics, manufacturing, energy, construction, logistics.</t>
        </is>
      </c>
    </row>
    <row r="16" ht="15" customHeight="1" s="25">
      <c r="A16" s="33" t="inlineStr">
        <is>
          <t>5. US-based (or US HQ).</t>
        </is>
      </c>
    </row>
    <row r="17" ht="15" customHeight="1" s="25">
      <c r="A17" s="33" t="n"/>
    </row>
    <row r="18" ht="15" customHeight="1" s="25">
      <c r="A18" s="36" t="inlineStr">
        <is>
          <t>Tier meanings</t>
        </is>
      </c>
    </row>
    <row r="19" ht="15" customHeight="1" s="25">
      <c r="A19" s="33" t="inlineStr">
        <is>
          <t>Tier 1 - Strong fit: all criteria met; several are actively recruiting a first sales leader (pitch Colin as fractional/interim while they search).</t>
        </is>
      </c>
    </row>
    <row r="20" ht="15" customHeight="1" s="25">
      <c r="A20" s="33" t="inlineStr">
        <is>
          <t>Tier 2 - Fit, verify 1 item: meets criteria but one point needs a quick LinkedIn check (see 'Verify before outreach').</t>
        </is>
      </c>
    </row>
    <row r="21" ht="15" customHeight="1" s="25">
      <c r="A21" s="33" t="inlineStr">
        <is>
          <t>Tier 3 - Near-miss: no sales leader, but outside the 50-250 headcount band or a role may have been filled.</t>
        </is>
      </c>
    </row>
    <row r="22" ht="15" customHeight="1" s="25">
      <c r="A22" s="33" t="n"/>
    </row>
    <row r="23" ht="15" customHeight="1" s="25">
      <c r="A23" s="36" t="inlineStr">
        <is>
          <t>Limitations</t>
        </is>
      </c>
    </row>
    <row r="24" ht="15" customHeight="1" s="25">
      <c r="A24" s="33" t="inlineStr">
        <is>
          <t>- LinkedIn/Sales Navigator and company team pages could not be loaded directly from this environment; checks rely on search results, job posts and press releases.</t>
        </is>
      </c>
    </row>
    <row r="25" ht="15" customHeight="1" s="25">
      <c r="A25" s="33" t="inlineStr">
        <is>
          <t>- 'No sales leader found' means none surfaced publicly - confirm on LinkedIn (People tab, filter titles: CRO, VP Sales, Head of Sales, CCO) before outreach.</t>
        </is>
      </c>
    </row>
    <row r="26" ht="15" customHeight="1" s="25">
      <c r="A26" s="33" t="inlineStr">
        <is>
          <t>- Headcounts are third-party estimates and often conflict; ranges are shown.</t>
        </is>
      </c>
    </row>
    <row r="27" ht="15" customHeight="1" s="25">
      <c r="A27" s="33" t="inlineStr">
        <is>
          <t>- Names marked '(verify)' were not confirmed in this research pass.</t>
        </is>
      </c>
    </row>
    <row r="29" ht="15" customHeight="1" s="25">
      <c r="A29" s="36" t="inlineStr">
        <is>
          <t>Strict re-check (8 Oct 2026)</t>
        </is>
      </c>
    </row>
    <row r="30" ht="15" customHeight="1" s="25">
      <c r="A30" s="33" t="inlineStr">
        <is>
          <t>Fail if: any sales/revenue/growth leader (CRO, VP Sales, Head of Sales, Head of Growth, CCO, VP BD, Sales Director); an existing sales team (AEs/BDRs/RevOps); or sector outside industrial AI/manufacturing.</t>
        </is>
      </c>
    </row>
    <row r="31" ht="15" customHeight="1" s="25">
      <c r="A31" s="33" t="inlineStr">
        <is>
          <t>Result: PASS - Senra Systems, GrayMatter Robotics | CONDITIONAL - Phaidra, Instrumental | NEAR-MISS - Invisible AI | FAIL - remaining 35. See Targets columns M-N.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4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8" min="1" max="2"/>
    <col width="30" customWidth="1" style="28" min="3" max="3"/>
    <col width="22" customWidth="1" style="28" min="4" max="4"/>
    <col width="20" customWidth="1" style="28" min="5" max="5"/>
    <col width="28" customWidth="1" style="28" min="6" max="6"/>
    <col width="30" customWidth="1" style="28" min="7" max="7"/>
    <col width="48" customWidth="1" style="28" min="8" max="8"/>
    <col width="44" customWidth="1" style="28" min="9" max="9"/>
    <col width="40" customWidth="1" style="28" min="10" max="10"/>
    <col width="60" customWidth="1" style="28" min="11" max="11"/>
    <col width="16" customWidth="1" style="28" min="12" max="12"/>
    <col width="22" customWidth="1" style="28" min="13" max="13"/>
    <col width="70" customWidth="1" style="28" min="14" max="14"/>
  </cols>
  <sheetData>
    <row r="1" ht="15" customHeight="1" s="25">
      <c r="A1" s="37" t="inlineStr">
        <is>
          <t>Company</t>
        </is>
      </c>
      <c r="B1" s="37" t="inlineStr">
        <is>
          <t>Tier</t>
        </is>
      </c>
      <c r="C1" s="37" t="inlineStr">
        <is>
          <t>Segment</t>
        </is>
      </c>
      <c r="D1" s="37" t="inlineStr">
        <is>
          <t>HQ</t>
        </is>
      </c>
      <c r="E1" s="37" t="inlineStr">
        <is>
          <t>Headcount (est.)</t>
        </is>
      </c>
      <c r="F1" s="37" t="inlineStr">
        <is>
          <t>Funding</t>
        </is>
      </c>
      <c r="G1" s="37" t="inlineStr">
        <is>
          <t>CEO / Founder</t>
        </is>
      </c>
      <c r="H1" s="37" t="inlineStr">
        <is>
          <t>Sales-leadership check</t>
        </is>
      </c>
      <c r="I1" s="37" t="inlineStr">
        <is>
          <t>Why now / signal</t>
        </is>
      </c>
      <c r="J1" s="37" t="inlineStr">
        <is>
          <t>Verify before outreach</t>
        </is>
      </c>
      <c r="K1" s="37" t="inlineStr">
        <is>
          <t>Sources</t>
        </is>
      </c>
      <c r="L1" s="37" t="inlineStr">
        <is>
          <t>Outreach status</t>
        </is>
      </c>
      <c r="M1" s="38" t="inlineStr">
        <is>
          <t>Strict re-check verdict</t>
        </is>
      </c>
      <c r="N1" s="38" t="inlineStr">
        <is>
          <t>Re-check reason</t>
        </is>
      </c>
    </row>
    <row r="2" ht="23.25" customHeight="1" s="25">
      <c r="A2" s="39" t="inlineStr">
        <is>
          <t>Burro</t>
        </is>
      </c>
      <c r="B2" s="40" t="inlineStr">
        <is>
          <t>Tier 1 - Strong fit</t>
        </is>
      </c>
      <c r="C2" s="41" t="inlineStr">
        <is>
          <t>Ag / logistics robotics</t>
        </is>
      </c>
      <c r="D2" s="41" t="inlineStr">
        <is>
          <t>Philadelphia, PA</t>
        </is>
      </c>
      <c r="E2" s="41" t="inlineStr">
        <is>
          <t>44-70</t>
        </is>
      </c>
      <c r="F2" s="41" t="inlineStr">
        <is>
          <t>$45M+ (Series B $24M)</t>
        </is>
      </c>
      <c r="G2" s="41" t="inlineStr">
        <is>
          <t>Charlie Andersen (verify)</t>
        </is>
      </c>
      <c r="H2" s="41" t="inlineStr">
        <is>
          <t>No CRO/VP Sales found. CRO role posted Jan 2026 ($550-600k + equity); no hire announced.</t>
        </is>
      </c>
      <c r="I2" s="41" t="inlineStr">
        <is>
          <t>Actively searching for a CRO - pitch Colin as interim/fractional CRO while the search runs.</t>
        </is>
      </c>
      <c r="J2" s="41" t="inlineStr">
        <is>
          <t>Confirm CRO req is still open.</t>
        </is>
      </c>
      <c r="K2" s="41" t="inlineStr">
        <is>
          <t>https://jobs.lever.co/Burro/036fc36f-a113-45de-a8e7-e6b3b8a90326 ; https://technical.ly/startups/robotics-philadelphia-burro-series-b-raise</t>
        </is>
      </c>
      <c r="L2" s="42" t="inlineStr">
        <is>
          <t>Not contacted</t>
        </is>
      </c>
      <c r="M2" s="43" t="inlineStr">
        <is>
          <t>FAIL</t>
        </is>
      </c>
      <c r="N2" s="41" t="inlineStr">
        <is>
          <t>Ag sector; existing AE team (NE/Midwest/TX) + running a CRO search</t>
        </is>
      </c>
    </row>
    <row r="3" ht="23.25" customHeight="1" s="25">
      <c r="A3" s="39" t="inlineStr">
        <is>
          <t>First Resonance</t>
        </is>
      </c>
      <c r="B3" s="40" t="inlineStr">
        <is>
          <t>Tier 1 - Strong fit</t>
        </is>
      </c>
      <c r="C3" s="41" t="inlineStr">
        <is>
          <t>Factory OS / manufacturing software</t>
        </is>
      </c>
      <c r="D3" s="41" t="inlineStr">
        <is>
          <t>Los Angeles, CA</t>
        </is>
      </c>
      <c r="E3" s="41" t="inlineStr">
        <is>
          <t>~64</t>
        </is>
      </c>
      <c r="F3" s="41" t="inlineStr">
        <is>
          <t>~$32M Series A (Jan 2025)</t>
        </is>
      </c>
      <c r="G3" s="41" t="inlineStr">
        <is>
          <t>Karan Talati</t>
        </is>
      </c>
      <c r="H3" s="41" t="inlineStr">
        <is>
          <t>No CRO/VP Sales found. Recruiting a VP Revenue / VP Sales; no hire announced.</t>
        </is>
      </c>
      <c r="I3" s="41" t="inlineStr">
        <is>
          <t>Open VP Revenue search = clear gap; fractional bridge pitch.</t>
        </is>
      </c>
      <c r="J3" s="41" t="inlineStr">
        <is>
          <t>Confirm VP Revenue req still open.</t>
        </is>
      </c>
      <c r="K3" s="41" t="inlineStr">
        <is>
          <t>https://www.builtinla.com/job/vp-revenue/4823382 ; https://www.hirebase.org/company/first-resonance/jobs/vp-revenue-1</t>
        </is>
      </c>
      <c r="L3" s="42" t="inlineStr">
        <is>
          <t>Not contacted</t>
        </is>
      </c>
      <c r="M3" s="43" t="inlineStr">
        <is>
          <t>FAIL</t>
        </is>
      </c>
      <c r="N3" s="41" t="inlineStr">
        <is>
          <t>Built sales org: Director of Sales + AEs + BDRs + SEs; recruiting VP Sales</t>
        </is>
      </c>
    </row>
    <row r="4" ht="23.25" customHeight="1" s="25">
      <c r="A4" s="39" t="inlineStr">
        <is>
          <t>Overview.ai</t>
        </is>
      </c>
      <c r="B4" s="40" t="inlineStr">
        <is>
          <t>Tier 1 - Strong fit</t>
        </is>
      </c>
      <c r="C4" s="41" t="inlineStr">
        <is>
          <t>Industrial machine vision / QA</t>
        </is>
      </c>
      <c r="D4" s="41" t="inlineStr">
        <is>
          <t>SF Bay Area, CA</t>
        </is>
      </c>
      <c r="E4" s="41" t="inlineStr">
        <is>
          <t>~64</t>
        </is>
      </c>
      <c r="F4" s="41" t="inlineStr">
        <is>
          <t>$13.3M (Series A)</t>
        </is>
      </c>
      <c r="G4" s="41" t="inlineStr">
        <is>
          <t>Founder-led (a founder is acting Head of Revenue)</t>
        </is>
      </c>
      <c r="H4" s="41" t="inlineStr">
        <is>
          <t>Founder runs revenue ($0 -&gt; $20M). VP Sales role posted; no hire announced.</t>
        </is>
      </c>
      <c r="I4" s="41" t="inlineStr">
        <is>
          <t>Founder-led sales hitting a ceiling at $20M; building first sales org.</t>
        </is>
      </c>
      <c r="J4" s="41" t="inlineStr">
        <is>
          <t>Confirm VP Sales req still open; confirm founder name.</t>
        </is>
      </c>
      <c r="K4" s="41" t="inlineStr">
        <is>
          <t>https://www.builtinsf.com/job/vp-sales/11056189</t>
        </is>
      </c>
      <c r="L4" s="42" t="inlineStr">
        <is>
          <t>Not contacted</t>
        </is>
      </c>
      <c r="M4" s="43" t="inlineStr">
        <is>
          <t>FAIL</t>
        </is>
      </c>
      <c r="N4" s="41" t="inlineStr">
        <is>
          <t>Founder is Head of Revenue; SAMs/AEs/BDRs/SEs already in place</t>
        </is>
      </c>
    </row>
    <row r="5" ht="34.5" customHeight="1" s="25">
      <c r="A5" s="39" t="inlineStr">
        <is>
          <t>HappyRobot</t>
        </is>
      </c>
      <c r="B5" s="40" t="inlineStr">
        <is>
          <t>Tier 1 - Strong fit</t>
        </is>
      </c>
      <c r="C5" s="41" t="inlineStr">
        <is>
          <t>AI agents for logistics/supply chain</t>
        </is>
      </c>
      <c r="D5" s="41" t="inlineStr">
        <is>
          <t>San Francisco, CA</t>
        </is>
      </c>
      <c r="E5" s="41" t="inlineStr">
        <is>
          <t>~63</t>
        </is>
      </c>
      <c r="F5" s="41" t="inlineStr">
        <is>
          <t>$44M Series B (Sep 2025; Base10, a16z)</t>
        </is>
      </c>
      <c r="G5" s="41" t="inlineStr">
        <is>
          <t>Pablo Palafox (co-founder)</t>
        </is>
      </c>
      <c r="H5" s="41" t="inlineStr">
        <is>
          <t>Only a Head of Growth found. Hiring VP Regional Sales; no CRO/VP Sales in place.</t>
        </is>
      </c>
      <c r="I5" s="41" t="inlineStr">
        <is>
          <t>Fresh Series B earmarked for GTM; building sales leadership now.</t>
        </is>
      </c>
      <c r="J5" s="41" t="inlineStr">
        <is>
          <t>Confirm no VP Sales hired since posting.</t>
        </is>
      </c>
      <c r="K5" s="41" t="inlineStr">
        <is>
          <t>https://www.wilmerhale.com/en/insights/news/20250904-happyrobot-secures-44m-in-series-b-funding ; https://www.builtinnyc.com/company/happyrobot/jobs</t>
        </is>
      </c>
      <c r="L5" s="42" t="inlineStr">
        <is>
          <t>Not contacted</t>
        </is>
      </c>
      <c r="M5" s="43" t="inlineStr">
        <is>
          <t>FAIL</t>
        </is>
      </c>
      <c r="N5" s="41" t="inlineStr">
        <is>
          <t>Head of Growth (auto-fail title); logistics; multiple Enterprise AEs</t>
        </is>
      </c>
    </row>
    <row r="6" ht="45.75" customHeight="1" s="25">
      <c r="A6" s="39" t="inlineStr">
        <is>
          <t>Togal.AI</t>
        </is>
      </c>
      <c r="B6" s="40" t="inlineStr">
        <is>
          <t>Tier 1 - Strong fit</t>
        </is>
      </c>
      <c r="C6" s="41" t="inlineStr">
        <is>
          <t>Construction AI (takeoff/estimating)</t>
        </is>
      </c>
      <c r="D6" s="41" t="inlineStr">
        <is>
          <t>Miami, FL</t>
        </is>
      </c>
      <c r="E6" s="41" t="inlineStr">
        <is>
          <t>~54 (plans +100 hires in 2026)</t>
        </is>
      </c>
      <c r="F6" s="41" t="inlineStr">
        <is>
          <t>$7-17.5M</t>
        </is>
      </c>
      <c r="G6" s="41" t="inlineStr">
        <is>
          <t>Patrick Murphy (verify)</t>
        </is>
      </c>
      <c r="H6" s="41" t="inlineStr">
        <is>
          <t>No CRO/VP Sales/Head of Sales found. Hiring Director of Revenue (RevOps).</t>
        </is>
      </c>
      <c r="I6" s="41" t="inlineStr">
        <is>
          <t>ARR up &gt;1,000% (Jan 2024-Dec 2025) and doubling headcount - sales engine needs structure.</t>
        </is>
      </c>
      <c r="J6" s="41" t="inlineStr">
        <is>
          <t>Confirm CEO name and that no VP Sales was hired.</t>
        </is>
      </c>
      <c r="K6" s="41" t="inlineStr">
        <is>
          <t>https://refreshmiami.com/news/8-things-to-know-in-miamitech-togal-ai-plans-hiring-spree-in-2026-plus-news-from-vitalis-ventures-pairsoft-space-florida-xpoint-pillar-security-ace-padel-boats-group-more/ ; https://www.builtinla.com/job/director-revenue/9584227</t>
        </is>
      </c>
      <c r="L6" s="42" t="inlineStr">
        <is>
          <t>Not contacted</t>
        </is>
      </c>
      <c r="M6" s="43" t="inlineStr">
        <is>
          <t>FAIL</t>
        </is>
      </c>
      <c r="N6" s="41" t="inlineStr">
        <is>
          <t>Head of Growth Johnny Maghzal; built sales org; construction tech (your check)</t>
        </is>
      </c>
    </row>
    <row r="7" ht="57" customHeight="1" s="25">
      <c r="A7" s="39" t="inlineStr">
        <is>
          <t>Squint</t>
        </is>
      </c>
      <c r="B7" s="40" t="inlineStr">
        <is>
          <t>Tier 1 - Strong fit</t>
        </is>
      </c>
      <c r="C7" s="41" t="inlineStr">
        <is>
          <t>AR / AI for manufacturing frontline</t>
        </is>
      </c>
      <c r="D7" s="41" t="inlineStr">
        <is>
          <t>US (verify HQ)</t>
        </is>
      </c>
      <c r="E7" s="41" t="inlineStr">
        <is>
          <t>60-105 (most sources 70-82)</t>
        </is>
      </c>
      <c r="F7" s="41" t="inlineStr">
        <is>
          <t>$40M at $265M valuation (Aug 2025)</t>
        </is>
      </c>
      <c r="G7" s="41" t="inlineStr">
        <is>
          <t>Devin Bhushan</t>
        </is>
      </c>
      <c r="H7" s="41" t="inlineStr">
        <is>
          <t>No CRO/VP Sales/Head of Sales found. Hiring Director of Enterprise Sales (incl. Utilities).</t>
        </is>
      </c>
      <c r="I7" s="41" t="inlineStr">
        <is>
          <t>Building first enterprise sales layer under the founder.</t>
        </is>
      </c>
      <c r="J7" s="41" t="inlineStr">
        <is>
          <t>Confirm HQ.</t>
        </is>
      </c>
      <c r="K7" s="41" t="inlineStr">
        <is>
          <t>https://fortune.com/2025/08/12/exclusive-squint-raises-40-million-at-265-million-valuation-to-modernize-manufacturing-for-companies-like-pepsi-and-michelin ; https://www.purpose.jobs/discover/companies/squint-2/jobs/60675705-director-of-enterprise-sales</t>
        </is>
      </c>
      <c r="L7" s="42" t="inlineStr">
        <is>
          <t>Not contacted</t>
        </is>
      </c>
      <c r="M7" s="43" t="inlineStr">
        <is>
          <t>FAIL</t>
        </is>
      </c>
      <c r="N7" s="41" t="inlineStr">
        <is>
          <t>CRO Stuart Wilson + full enterprise sales org (your check)</t>
        </is>
      </c>
    </row>
    <row r="8" ht="23.25" customHeight="1" s="25">
      <c r="A8" s="39" t="inlineStr">
        <is>
          <t>Guidewheel</t>
        </is>
      </c>
      <c r="B8" s="40" t="inlineStr">
        <is>
          <t>Tier 1 - Strong fit</t>
        </is>
      </c>
      <c r="C8" s="41" t="inlineStr">
        <is>
          <t>Factory monitoring / manufacturing AI</t>
        </is>
      </c>
      <c r="D8" s="41" t="inlineStr">
        <is>
          <t>San Francisco, CA</t>
        </is>
      </c>
      <c r="E8" s="41" t="inlineStr">
        <is>
          <t>~97</t>
        </is>
      </c>
      <c r="F8" s="41" t="inlineStr">
        <is>
          <t>$40M (Series B $31M, Aug 2024)</t>
        </is>
      </c>
      <c r="G8" s="41" t="inlineStr">
        <is>
          <t>Lauren Dunford</t>
        </is>
      </c>
      <c r="H8" s="41" t="inlineStr">
        <is>
          <t>No CRO/VP Sales/Head of Sales found. Hiring AEs.</t>
        </is>
      </c>
      <c r="I8" s="41" t="inlineStr">
        <is>
          <t>Core industrial-AI niche; founder-led with AE hiring.</t>
        </is>
      </c>
      <c r="J8" s="41" t="inlineStr">
        <is>
          <t>-</t>
        </is>
      </c>
      <c r="K8" s="41" t="inlineStr">
        <is>
          <t>https://getlatka.com/companies/guidewheel ; https://startup.jobs/account-executive-guidewheel-7222872</t>
        </is>
      </c>
      <c r="L8" s="42" t="inlineStr">
        <is>
          <t>Not contacted</t>
        </is>
      </c>
      <c r="M8" s="43" t="inlineStr">
        <is>
          <t>FAIL</t>
        </is>
      </c>
      <c r="N8" s="41" t="inlineStr">
        <is>
          <t>Enterprise AEs + SVP Sales/revenue roles posted; VP/Head of CX</t>
        </is>
      </c>
    </row>
    <row r="9" ht="34.5" customHeight="1" s="25">
      <c r="A9" s="39" t="inlineStr">
        <is>
          <t>GrayMatter Robotics</t>
        </is>
      </c>
      <c r="B9" s="40" t="inlineStr">
        <is>
          <t>Tier 1 - Strong fit</t>
        </is>
      </c>
      <c r="C9" s="41" t="inlineStr">
        <is>
          <t>AI robotics for high-mix manufacturing</t>
        </is>
      </c>
      <c r="D9" s="41" t="inlineStr">
        <is>
          <t>Los Angeles area, CA</t>
        </is>
      </c>
      <c r="E9" s="41" t="inlineStr">
        <is>
          <t>75-124</t>
        </is>
      </c>
      <c r="F9" s="41" t="inlineStr">
        <is>
          <t>$71M (Series B $45M, 2024)</t>
        </is>
      </c>
      <c r="G9" s="41" t="inlineStr">
        <is>
          <t>Ariyan Kabir</t>
        </is>
      </c>
      <c r="H9" s="41" t="inlineStr">
        <is>
          <t>No CRO/VP Sales/Head of Sales found. Hiring AEs and Key Account Managers.</t>
        </is>
      </c>
      <c r="I9" s="41" t="inlineStr">
        <is>
          <t>Core industrial-AI niche; sales team forming without a leader.</t>
        </is>
      </c>
      <c r="J9" s="41" t="inlineStr">
        <is>
          <t>-</t>
        </is>
      </c>
      <c r="K9" s="41" t="inlineStr">
        <is>
          <t>https://www.builtinchicago.org/company/graymatter-robotics/faq/leadership-management ; https://builtinla.com/job/account-executive/174832</t>
        </is>
      </c>
      <c r="L9" s="42" t="inlineStr">
        <is>
          <t>Not contacted</t>
        </is>
      </c>
      <c r="M9" s="44" t="inlineStr">
        <is>
          <t>PASS (confirm 1 item)</t>
        </is>
      </c>
      <c r="N9" s="41" t="inlineStr">
        <is>
          <t>Only IC commercial staff found: 1 Account Manager, 1 BD rep (ex-SDR), 1 growth marketer. No sales leader. Confirm Rand Owens' title is not Head of Growth</t>
        </is>
      </c>
    </row>
    <row r="10" ht="23.25" customHeight="1" s="25">
      <c r="A10" s="39" t="inlineStr">
        <is>
          <t>Mytra</t>
        </is>
      </c>
      <c r="B10" s="40" t="inlineStr">
        <is>
          <t>Tier 1 - Strong fit</t>
        </is>
      </c>
      <c r="C10" s="41" t="inlineStr">
        <is>
          <t>Warehouse storage robotics</t>
        </is>
      </c>
      <c r="D10" s="41" t="inlineStr">
        <is>
          <t>South San Francisco, CA</t>
        </is>
      </c>
      <c r="E10" s="41" t="inlineStr">
        <is>
          <t>~147 (+274% since 2023)</t>
        </is>
      </c>
      <c r="F10" s="41" t="inlineStr">
        <is>
          <t>$198M (Series C $120M, Jan 2026)</t>
        </is>
      </c>
      <c r="G10" s="41" t="inlineStr">
        <is>
          <t>Chris Walti</t>
        </is>
      </c>
      <c r="H10" s="41" t="inlineStr">
        <is>
          <t>No CRO/VP Sales found. Hiring Director of Business Development.</t>
        </is>
      </c>
      <c r="I10" s="41" t="inlineStr">
        <is>
          <t>Fast growth after Series C, Fortune 100 customers - needs a revenue engine.</t>
        </is>
      </c>
      <c r="J10" s="41" t="inlineStr">
        <is>
          <t>Well funded - may prefer a full-time hire; pitch as bridge.</t>
        </is>
      </c>
      <c r="K10" s="41" t="inlineStr">
        <is>
          <t>https://www.reveliolabs.com/companies/mytra/employees ; https://app.welcometothejungle.com/jobs/Cp9vfLv5/company</t>
        </is>
      </c>
      <c r="L10" s="42" t="inlineStr">
        <is>
          <t>Not contacted</t>
        </is>
      </c>
      <c r="M10" s="43" t="inlineStr">
        <is>
          <t>FAIL</t>
        </is>
      </c>
      <c r="N10" s="41" t="inlineStr">
        <is>
          <t>CRO Adrian Grigg</t>
        </is>
      </c>
    </row>
    <row r="11" ht="45.75" customHeight="1" s="25">
      <c r="A11" s="39" t="inlineStr">
        <is>
          <t>Freeform</t>
        </is>
      </c>
      <c r="B11" s="40" t="inlineStr">
        <is>
          <t>Tier 1 - Strong fit</t>
        </is>
      </c>
      <c r="C11" s="41" t="inlineStr">
        <is>
          <t>AI-driven metal 3D printing</t>
        </is>
      </c>
      <c r="D11" s="41" t="inlineStr">
        <is>
          <t>Los Angeles area, CA</t>
        </is>
      </c>
      <c r="E11" s="41" t="inlineStr">
        <is>
          <t>21-100 (+57% YoY)</t>
        </is>
      </c>
      <c r="F11" s="41" t="inlineStr">
        <is>
          <t>$67M Series B (Feb 2026)</t>
        </is>
      </c>
      <c r="G11" s="41" t="inlineStr">
        <is>
          <t>Erik Palitsch (co-founder)</t>
        </is>
      </c>
      <c r="H11" s="41" t="inlineStr">
        <is>
          <t>No CRO/VP Sales found; only a Technical Sales Director role.</t>
        </is>
      </c>
      <c r="I11" s="41" t="inlineStr">
        <is>
          <t>New Series B and rapid hiring; commercial org still IC-level.</t>
        </is>
      </c>
      <c r="J11" s="41" t="inlineStr">
        <is>
          <t>Confirm current headcount is 50+.</t>
        </is>
      </c>
      <c r="K11" s="41" t="inlineStr">
        <is>
          <t>https://techcrunch.com/2026/02/19/freeform-raises-67m-series-b-to-scale-up-laser-ai-manufacturing/ ; https://jobs.spacetalent.org/companies/freeform-2/jobs/65202912-technical-sales-director</t>
        </is>
      </c>
      <c r="L11" s="42" t="inlineStr">
        <is>
          <t>Not contacted</t>
        </is>
      </c>
      <c r="M11" s="43" t="inlineStr">
        <is>
          <t>FAIL</t>
        </is>
      </c>
      <c r="N11" s="41" t="inlineStr">
        <is>
          <t>VP Business Development Zachary Murphree</t>
        </is>
      </c>
    </row>
    <row r="12" ht="23.25" customHeight="1" s="25">
      <c r="A12" s="39" t="inlineStr">
        <is>
          <t>Senra Systems</t>
        </is>
      </c>
      <c r="B12" s="40" t="inlineStr">
        <is>
          <t>Tier 1 - Strong fit</t>
        </is>
      </c>
      <c r="C12" s="41" t="inlineStr">
        <is>
          <t>Software-driven wire harness manufacturing</t>
        </is>
      </c>
      <c r="D12" s="41" t="inlineStr">
        <is>
          <t>US (verify HQ)</t>
        </is>
      </c>
      <c r="E12" s="41" t="inlineStr">
        <is>
          <t>65+</t>
        </is>
      </c>
      <c r="F12" s="41" t="inlineStr">
        <is>
          <t>$112M (Series B $65M, Jul 2026)</t>
        </is>
      </c>
      <c r="G12" s="41" t="inlineStr">
        <is>
          <t>Jordan Black (founder)</t>
        </is>
      </c>
      <c r="H12" s="41" t="inlineStr">
        <is>
          <t>No CRO/VP Sales/Head of Sales found (CTO/CPO and CFO hired, no sales exec).</t>
        </is>
      </c>
      <c r="I12" s="41" t="inlineStr">
        <is>
          <t>Just raised and opening 3rd factory - capacity to sell, no sales leader.</t>
        </is>
      </c>
      <c r="J12" s="41" t="inlineStr">
        <is>
          <t>Confirm HQ.</t>
        </is>
      </c>
      <c r="K12" s="41" t="inlineStr">
        <is>
          <t>https://pulse2.com/senra-systems-announces-65-million-series-b-and-plans-for-third-manufacturing-facility/</t>
        </is>
      </c>
      <c r="L12" s="42" t="inlineStr">
        <is>
          <t>Not contacted</t>
        </is>
      </c>
      <c r="M12" s="44" t="inlineStr">
        <is>
          <t>PASS</t>
        </is>
      </c>
      <c r="N12" s="41" t="inlineStr">
        <is>
          <t>No sales/BD/growth staff surfaced on LinkedIn; CEO Jordan Black sells; manufacturing; Cypress, CA; $65M Series B Jul 2026</t>
        </is>
      </c>
    </row>
    <row r="13" ht="23.25" customHeight="1" s="25">
      <c r="A13" s="39" t="inlineStr">
        <is>
          <t>Robust.AI</t>
        </is>
      </c>
      <c r="B13" s="40" t="inlineStr">
        <is>
          <t>Tier 1 - Strong fit</t>
        </is>
      </c>
      <c r="C13" s="41" t="inlineStr">
        <is>
          <t>Collaborative warehouse robots</t>
        </is>
      </c>
      <c r="D13" s="41" t="inlineStr">
        <is>
          <t>SF Bay Area, CA</t>
        </is>
      </c>
      <c r="E13" s="41" t="inlineStr">
        <is>
          <t>66-76</t>
        </is>
      </c>
      <c r="F13" s="41" t="inlineStr">
        <is>
          <t>~$42.5M; $15.4M revenue (2025)</t>
        </is>
      </c>
      <c r="G13" s="41" t="inlineStr">
        <is>
          <t>Anthony Jules (co-founder; Rodney Brooks CTO)</t>
        </is>
      </c>
      <c r="H13" s="41" t="inlineStr">
        <is>
          <t>No CRO/VP Sales found. Hiring Strategic Sales Director and AEs.</t>
        </is>
      </c>
      <c r="I13" s="41" t="inlineStr">
        <is>
          <t>Revenue-generating, DHL alliance; scaling sales without an exec.</t>
        </is>
      </c>
      <c r="J13" s="41" t="inlineStr">
        <is>
          <t>-</t>
        </is>
      </c>
      <c r="K13" s="41" t="inlineStr">
        <is>
          <t>https://app.welcometothejungle.com/jobs/HmKfGJUZ/company ; https://getlatka.com/companies/robust.ai</t>
        </is>
      </c>
      <c r="L13" s="42" t="inlineStr">
        <is>
          <t>Not contacted</t>
        </is>
      </c>
      <c r="M13" s="43" t="inlineStr">
        <is>
          <t>FAIL</t>
        </is>
      </c>
      <c r="N13" s="41" t="inlineStr">
        <is>
          <t>Strategic Sales Director + AEs; warehouse logistics</t>
        </is>
      </c>
    </row>
    <row r="14" ht="23.25" customHeight="1" s="25">
      <c r="A14" s="39" t="inlineStr">
        <is>
          <t>UnitX</t>
        </is>
      </c>
      <c r="B14" s="40" t="inlineStr">
        <is>
          <t>Tier 1 - Strong fit</t>
        </is>
      </c>
      <c r="C14" s="41" t="inlineStr">
        <is>
          <t>AI visual inspection for manufacturing</t>
        </is>
      </c>
      <c r="D14" s="41" t="inlineStr">
        <is>
          <t>SF Bay Area, CA</t>
        </is>
      </c>
      <c r="E14" s="41" t="inlineStr">
        <is>
          <t>~106 (+48% since 2023)</t>
        </is>
      </c>
      <c r="F14" s="41" t="inlineStr">
        <is>
          <t>$106M (Series B $46M, Nov 2024)</t>
        </is>
      </c>
      <c r="G14" s="41" t="inlineStr">
        <is>
          <t>Keven Wang (co-founder)</t>
        </is>
      </c>
      <c r="H14" s="41" t="inlineStr">
        <is>
          <t>No CRO/VP Sales found. Highest sales title: Director of North American Sales; some roles report to CEO.</t>
        </is>
      </c>
      <c r="I14" s="41" t="inlineStr">
        <is>
          <t>Core industrial-AI niche; growing, sales led by a director.</t>
        </is>
      </c>
      <c r="J14" s="41" t="inlineStr">
        <is>
          <t>-</t>
        </is>
      </c>
      <c r="K14" s="41" t="inlineStr">
        <is>
          <t>https://www.reveliolabs.com/companies/unitx/employees ; https://builtin.com/job/account-executive/7319735</t>
        </is>
      </c>
      <c r="L14" s="42" t="inlineStr">
        <is>
          <t>Not contacted</t>
        </is>
      </c>
      <c r="M14" s="43" t="inlineStr">
        <is>
          <t>FAIL</t>
        </is>
      </c>
      <c r="N14" s="41" t="inlineStr">
        <is>
          <t>Director of NA Sales + Regional Sales Manager + AEs</t>
        </is>
      </c>
    </row>
    <row r="15" ht="34.5" customHeight="1" s="25">
      <c r="A15" s="39" t="inlineStr">
        <is>
          <t>Reframe Systems</t>
        </is>
      </c>
      <c r="B15" s="40" t="inlineStr">
        <is>
          <t>Tier 1 - Strong fit</t>
        </is>
      </c>
      <c r="C15" s="41" t="inlineStr">
        <is>
          <t>Robotic microfactories for housing</t>
        </is>
      </c>
      <c r="D15" s="41" t="inlineStr">
        <is>
          <t>Andover, MA</t>
        </is>
      </c>
      <c r="E15" s="41" t="inlineStr">
        <is>
          <t>~67</t>
        </is>
      </c>
      <c r="F15" s="41" t="inlineStr">
        <is>
          <t>$40M Series B</t>
        </is>
      </c>
      <c r="G15" s="41" t="inlineStr">
        <is>
          <t>Vikas Enti (ex-Amazon Robotics)</t>
        </is>
      </c>
      <c r="H15" s="41" t="inlineStr">
        <is>
          <t>No CRO/VP Sales/Head of Sales found.</t>
        </is>
      </c>
      <c r="I15" s="41" t="inlineStr">
        <is>
          <t>Scaling factories after Series B; East Coast (Colin's time zone).</t>
        </is>
      </c>
      <c r="J15" s="41" t="inlineStr">
        <is>
          <t>-</t>
        </is>
      </c>
      <c r="K15" s="41" t="inlineStr">
        <is>
          <t>https://www.therobotreport.com/reframe-systems-raises-40m-scale-robotic-microfactories-home-building/ ; https://rocketlist.ai/companies/reframe-systems</t>
        </is>
      </c>
      <c r="L15" s="42" t="inlineStr">
        <is>
          <t>Not contacted</t>
        </is>
      </c>
      <c r="M15" s="43" t="inlineStr">
        <is>
          <t>FAIL</t>
        </is>
      </c>
      <c r="N15" s="41" t="inlineStr">
        <is>
          <t>Sector: housing construction</t>
        </is>
      </c>
    </row>
    <row r="16" ht="34.5" customHeight="1" s="25">
      <c r="A16" s="39" t="inlineStr">
        <is>
          <t>Overstory</t>
        </is>
      </c>
      <c r="B16" s="40" t="inlineStr">
        <is>
          <t>Tier 1 - Strong fit</t>
        </is>
      </c>
      <c r="C16" s="41" t="inlineStr">
        <is>
          <t>Vegetation/wildfire AI for utilities</t>
        </is>
      </c>
      <c r="D16" s="41" t="inlineStr">
        <is>
          <t>Boston, MA (US HQ) / Amsterdam</t>
        </is>
      </c>
      <c r="E16" s="41" t="inlineStr">
        <is>
          <t>80+</t>
        </is>
      </c>
      <c r="F16" s="41" t="inlineStr">
        <is>
          <t>$43M Series B (Nov 2025)</t>
        </is>
      </c>
      <c r="G16" s="41" t="inlineStr">
        <is>
          <t>Co-founders; Anniek Schouten COO</t>
        </is>
      </c>
      <c r="H16" s="41" t="inlineStr">
        <is>
          <t>No CRO/VP Sales found. Hiring RevOps manager and VP Marketing.</t>
        </is>
      </c>
      <c r="I16" s="41" t="inlineStr">
        <is>
          <t>Series B for US expansion; building GTM infrastructure.</t>
        </is>
      </c>
      <c r="J16" s="41" t="inlineStr">
        <is>
          <t>Confirm CEO name.</t>
        </is>
      </c>
      <c r="K16" s="41" t="inlineStr">
        <is>
          <t>https://www.esgtoday.com/overstory-raises-43-million-to-help-utilities-avoid-wildfires-with-ai/ ; https://builtin.com/job/senior-manager-revenue-operations/7765978</t>
        </is>
      </c>
      <c r="L16" s="42" t="inlineStr">
        <is>
          <t>Not contacted</t>
        </is>
      </c>
      <c r="M16" s="43" t="inlineStr">
        <is>
          <t>FAIL</t>
        </is>
      </c>
      <c r="N16" s="41" t="inlineStr">
        <is>
          <t>Sector: utilities; RevOps function already hired</t>
        </is>
      </c>
    </row>
    <row r="17" ht="34.5" customHeight="1" s="25">
      <c r="A17" s="39" t="inlineStr">
        <is>
          <t>Verdant Robotics</t>
        </is>
      </c>
      <c r="B17" s="40" t="inlineStr">
        <is>
          <t>Tier 1 - Strong fit</t>
        </is>
      </c>
      <c r="C17" s="41" t="inlineStr">
        <is>
          <t>Ag robotics (precision spraying)</t>
        </is>
      </c>
      <c r="D17" s="41" t="inlineStr">
        <is>
          <t>Hayward, CA</t>
        </is>
      </c>
      <c r="E17" s="41" t="inlineStr">
        <is>
          <t>~105 (sources vary)</t>
        </is>
      </c>
      <c r="F17" s="41" t="inlineStr">
        <is>
          <t>~$58M; later-stage round Jan 2026</t>
        </is>
      </c>
      <c r="G17" s="41" t="inlineStr">
        <is>
          <t>Gabe Sibley (verify)</t>
        </is>
      </c>
      <c r="H17" s="41" t="inlineStr">
        <is>
          <t>No CRO/VP Sales found. Hiring Director of Sales and Area Sales Managers.</t>
        </is>
      </c>
      <c r="I17" s="41" t="inlineStr">
        <is>
          <t>New funding in 2026; dealer + direct sales motion being built.</t>
        </is>
      </c>
      <c r="J17" s="41" t="inlineStr">
        <is>
          <t>Headcount sources conflict (11-50 vs ~105).</t>
        </is>
      </c>
      <c r="K17" s="41" t="inlineStr">
        <is>
          <t>https://jobs.dcvc.com/companies/verdant-robotics/jobs/32840749-director-of-sales ; https://www.premieralts.com/companies/verdant-robotics/funding-history</t>
        </is>
      </c>
      <c r="L17" s="42" t="inlineStr">
        <is>
          <t>Not contacted</t>
        </is>
      </c>
      <c r="M17" s="43" t="inlineStr">
        <is>
          <t>FAIL</t>
        </is>
      </c>
      <c r="N17" s="41" t="inlineStr">
        <is>
          <t>Ag sector; Director of Sales + Area Sales Managers</t>
        </is>
      </c>
    </row>
    <row r="18" ht="45.75" customHeight="1" s="25">
      <c r="A18" s="39" t="inlineStr">
        <is>
          <t>Exowatt</t>
        </is>
      </c>
      <c r="B18" s="40" t="inlineStr">
        <is>
          <t>Tier 1 - Strong fit</t>
        </is>
      </c>
      <c r="C18" s="41" t="inlineStr">
        <is>
          <t>Dispatchable solar/thermal energy for data centers</t>
        </is>
      </c>
      <c r="D18" s="41" t="inlineStr">
        <is>
          <t>Miami, FL</t>
        </is>
      </c>
      <c r="E18" s="41" t="inlineStr">
        <is>
          <t>47-94</t>
        </is>
      </c>
      <c r="F18" s="41" t="inlineStr">
        <is>
          <t>~$105-140M (Series A $70M)</t>
        </is>
      </c>
      <c r="G18" s="41" t="inlineStr">
        <is>
          <t>Hannan Happi (verify)</t>
        </is>
      </c>
      <c r="H18" s="41" t="inlineStr">
        <is>
          <t>No CRO/VP Sales found. Hiring a Go-to-Market Lead reporting to the CEO.</t>
        </is>
      </c>
      <c r="I18" s="41" t="inlineStr">
        <is>
          <t>CEO-led GTM, building commercial engine now.</t>
        </is>
      </c>
      <c r="J18" s="41" t="inlineStr">
        <is>
          <t>Confirm CEO name.</t>
        </is>
      </c>
      <c r="K18" s="41" t="inlineStr">
        <is>
          <t>https://jobs.mcj.vc/companies/exowatt-2/jobs/60837627-go-to-market-lead ; https://businesswire.com/news/home/20260205790214/en/Exowatt-Scales-Executive-Team-to-Meet-AIs-Surging-Energy-Demand-with-Dispatchable-Solar</t>
        </is>
      </c>
      <c r="L18" s="42" t="inlineStr">
        <is>
          <t>Not contacted</t>
        </is>
      </c>
      <c r="M18" s="43" t="inlineStr">
        <is>
          <t>FAIL</t>
        </is>
      </c>
      <c r="N18" s="41" t="inlineStr">
        <is>
          <t>Sector: energy</t>
        </is>
      </c>
    </row>
    <row r="19" ht="45.75" customHeight="1" s="25">
      <c r="A19" s="39" t="inlineStr">
        <is>
          <t>Hyphen</t>
        </is>
      </c>
      <c r="B19" s="40" t="inlineStr">
        <is>
          <t>Tier 1 - Strong fit</t>
        </is>
      </c>
      <c r="C19" s="41" t="inlineStr">
        <is>
          <t>Automated meal-production robotics</t>
        </is>
      </c>
      <c r="D19" s="41" t="inlineStr">
        <is>
          <t>San Jose, CA</t>
        </is>
      </c>
      <c r="E19" s="41" t="inlineStr">
        <is>
          <t>~120</t>
        </is>
      </c>
      <c r="F19" s="41" t="inlineStr">
        <is>
          <t>$25M Series B (Aug 2025, CAVA)</t>
        </is>
      </c>
      <c r="G19" s="41" t="inlineStr">
        <is>
          <t>Stephen Klein</t>
        </is>
      </c>
      <c r="H19" s="41" t="inlineStr">
        <is>
          <t>No CRO/VP Sales/Head of Sales found.</t>
        </is>
      </c>
      <c r="I19" s="41" t="inlineStr">
        <is>
          <t>Post-Series B scaling to restaurant chains (B2B enterprise sale).</t>
        </is>
      </c>
      <c r="J19" s="41" t="inlineStr">
        <is>
          <t>-</t>
        </is>
      </c>
      <c r="K19" s="41" t="inlineStr">
        <is>
          <t>https://pulse2.com/hyphen-25-million-series-b/ ; https://agfundernews.com/meet-the-founder-hyphens-stephen-klein-on-humbling-startup-experiences-pandemic-pivots-and-why-you-dont-need-a-robotic-sledgehammer-to-crack-a-nut</t>
        </is>
      </c>
      <c r="L19" s="42" t="inlineStr">
        <is>
          <t>Not contacted</t>
        </is>
      </c>
      <c r="M19" s="43" t="inlineStr">
        <is>
          <t>FAIL</t>
        </is>
      </c>
      <c r="N19" s="41" t="inlineStr">
        <is>
          <t>Sector: food service</t>
        </is>
      </c>
    </row>
    <row r="20" ht="34.5" customHeight="1" s="25">
      <c r="A20" s="39" t="inlineStr">
        <is>
          <t>Phaidra</t>
        </is>
      </c>
      <c r="B20" s="45" t="inlineStr">
        <is>
          <t>Tier 2 - Fit, verify 1 item</t>
        </is>
      </c>
      <c r="C20" s="41" t="inlineStr">
        <is>
          <t>Industrial AI control (energy/data centers)</t>
        </is>
      </c>
      <c r="D20" s="41" t="inlineStr">
        <is>
          <t>Seattle, WA</t>
        </is>
      </c>
      <c r="E20" s="41" t="inlineStr">
        <is>
          <t>~91 (job posts +127% in 2026)</t>
        </is>
      </c>
      <c r="F20" s="41" t="inlineStr">
        <is>
          <t>$80.5M (Series B $50M, Oct 2025)</t>
        </is>
      </c>
      <c r="G20" s="41" t="inlineStr">
        <is>
          <t>Jim Gao</t>
        </is>
      </c>
      <c r="H20" s="41" t="inlineStr">
        <is>
          <t>No CRO/VP Sales/CCO found.</t>
        </is>
      </c>
      <c r="I20" s="41" t="inlineStr">
        <is>
          <t>Growing fast post-Series B; core industrial-AI niche.</t>
        </is>
      </c>
      <c r="J20" s="41" t="inlineStr">
        <is>
          <t>President &amp; Chief Strategy Officer Robert Locke (ex-Johnson Controls) may own commercial.</t>
        </is>
      </c>
      <c r="K20" s="41" t="inlineStr">
        <is>
          <t>https://www.geekwire.com/2022/seattle-startup-building-industrial-ai-tools-raises-25m-from-deepmind-co-founder-others/ ; https://seedtable.com/companies/phaidra</t>
        </is>
      </c>
      <c r="L20" s="42" t="inlineStr">
        <is>
          <t>Not contacted</t>
        </is>
      </c>
      <c r="M20" s="46" t="inlineStr">
        <is>
          <t>CONDITIONAL</t>
        </is>
      </c>
      <c r="N20" s="41" t="inlineStr">
        <is>
          <t>Industrial AI, no CRO/VP Sales found, but President/CSO Robert Locke (ex-Johnson Controls) may own commercial and a BD Lead is being hired - check LinkedIn</t>
        </is>
      </c>
    </row>
    <row r="21" ht="23.25" customHeight="1" s="25">
      <c r="A21" s="39" t="inlineStr">
        <is>
          <t>Bedrock Robotics</t>
        </is>
      </c>
      <c r="B21" s="45" t="inlineStr">
        <is>
          <t>Tier 2 - Fit, verify 1 item</t>
        </is>
      </c>
      <c r="C21" s="41" t="inlineStr">
        <is>
          <t>Autonomous construction equipment</t>
        </is>
      </c>
      <c r="D21" s="41" t="inlineStr">
        <is>
          <t>San Francisco, CA</t>
        </is>
      </c>
      <c r="E21" s="41" t="inlineStr">
        <is>
          <t>98 -&gt; 149 during 2026</t>
        </is>
      </c>
      <c r="F21" s="41" t="inlineStr">
        <is>
          <t>$270M Series B at $1.75B</t>
        </is>
      </c>
      <c r="G21" s="41" t="inlineStr">
        <is>
          <t>Boris Sofman</t>
        </is>
      </c>
      <c r="H21" s="41" t="inlineStr">
        <is>
          <t>No CRO/VP Sales/Head of Sales found (COO in place).</t>
        </is>
      </c>
      <c r="I21" s="41" t="inlineStr">
        <is>
          <t>Hyper-growth, no sales exec.</t>
        </is>
      </c>
      <c r="J21" s="41" t="inlineStr">
        <is>
          <t>Very well funded - may only want a full-time exec.</t>
        </is>
      </c>
      <c r="K21" s="41" t="inlineStr">
        <is>
          <t>https://pulse2.com/bedrock-robotics-270-million-series-b-at-1-75-billion-valuation/amp/ ; https://www.tipranks.com/private-companies/pc:bedro</t>
        </is>
      </c>
      <c r="L21" s="42" t="inlineStr">
        <is>
          <t>Not contacted</t>
        </is>
      </c>
      <c r="M21" s="43" t="inlineStr">
        <is>
          <t>FAIL</t>
        </is>
      </c>
      <c r="N21" s="41" t="inlineStr">
        <is>
          <t>Sector: construction; $1.75B valuation</t>
        </is>
      </c>
    </row>
    <row r="22" ht="34.5" customHeight="1" s="25">
      <c r="A22" s="39" t="inlineStr">
        <is>
          <t>Agtonomy</t>
        </is>
      </c>
      <c r="B22" s="45" t="inlineStr">
        <is>
          <t>Tier 2 - Fit, verify 1 item</t>
        </is>
      </c>
      <c r="C22" s="41" t="inlineStr">
        <is>
          <t>Autonomous tractors / ag automation</t>
        </is>
      </c>
      <c r="D22" s="41" t="inlineStr">
        <is>
          <t>California (verify)</t>
        </is>
      </c>
      <c r="E22" s="41" t="inlineStr">
        <is>
          <t>51-100</t>
        </is>
      </c>
      <c r="F22" s="41" t="inlineStr">
        <is>
          <t>$73M (Series B $18M, Oct 2025)</t>
        </is>
      </c>
      <c r="G22" s="41" t="inlineStr">
        <is>
          <t>Tim Bucher (verify)</t>
        </is>
      </c>
      <c r="H22" s="41" t="inlineStr">
        <is>
          <t>No CRO/VP Sales found.</t>
        </is>
      </c>
      <c r="I22" s="41" t="inlineStr">
        <is>
          <t>Paid pilots converting to revenue.</t>
        </is>
      </c>
      <c r="J22" s="41" t="inlineStr">
        <is>
          <t>A VP Business Development &amp; Marketing role was posted (2024) - check if filled.</t>
        </is>
      </c>
      <c r="K22" s="41" t="inlineStr">
        <is>
          <t>https://jobs.toyota.ventures/companies/agtonomy/jobs/41163999-vp-of-business-development-and-marketing ; https://www.vcbacked.co/company/agtonomy</t>
        </is>
      </c>
      <c r="L22" s="42" t="inlineStr">
        <is>
          <t>Not contacted</t>
        </is>
      </c>
      <c r="M22" s="43" t="inlineStr">
        <is>
          <t>FAIL</t>
        </is>
      </c>
      <c r="N22" s="41" t="inlineStr">
        <is>
          <t>Sector: agriculture</t>
        </is>
      </c>
    </row>
    <row r="23" ht="34.5" customHeight="1" s="25">
      <c r="A23" s="39" t="inlineStr">
        <is>
          <t>ISEE</t>
        </is>
      </c>
      <c r="B23" s="45" t="inlineStr">
        <is>
          <t>Tier 2 - Fit, verify 1 item</t>
        </is>
      </c>
      <c r="C23" s="41" t="inlineStr">
        <is>
          <t>Autonomous yard trucks</t>
        </is>
      </c>
      <c r="D23" s="41" t="inlineStr">
        <is>
          <t>Cambridge, MA</t>
        </is>
      </c>
      <c r="E23" s="41" t="inlineStr">
        <is>
          <t>51-200</t>
        </is>
      </c>
      <c r="F23" s="41" t="inlineStr">
        <is>
          <t>$53-70M (Series B $40M, Founders Fund)</t>
        </is>
      </c>
      <c r="G23" s="41" t="inlineStr">
        <is>
          <t>Yibiao Zhao</t>
        </is>
      </c>
      <c r="H23" s="41" t="inlineStr">
        <is>
          <t>No CRO/VP Sales/CCO found.</t>
        </is>
      </c>
      <c r="I23" s="41" t="inlineStr">
        <is>
          <t>Commercial deployments live; East Coast.</t>
        </is>
      </c>
      <c r="J23" s="41" t="inlineStr">
        <is>
          <t>Last funding 2022-23 - check runway/growth.</t>
        </is>
      </c>
      <c r="K23" s="41" t="inlineStr">
        <is>
          <t>https://www.robotics247.com/article/isee_raises_series_b_funding_for_self_driving_yard_trucks ; https://craft.co/isee-cambridge</t>
        </is>
      </c>
      <c r="L23" s="42" t="inlineStr">
        <is>
          <t>Not contacted</t>
        </is>
      </c>
      <c r="M23" s="43" t="inlineStr">
        <is>
          <t>FAIL</t>
        </is>
      </c>
      <c r="N23" s="41" t="inlineStr">
        <is>
          <t>Sector: logistics yards</t>
        </is>
      </c>
    </row>
    <row r="24" ht="23.25" customHeight="1" s="25">
      <c r="A24" s="39" t="inlineStr">
        <is>
          <t>Invisible AI</t>
        </is>
      </c>
      <c r="B24" s="45" t="inlineStr">
        <is>
          <t>Tier 2 - Fit, verify 1 item</t>
        </is>
      </c>
      <c r="C24" s="41" t="inlineStr">
        <is>
          <t>Computer vision for assembly lines</t>
        </is>
      </c>
      <c r="D24" s="41" t="inlineStr">
        <is>
          <t>US (verify HQ)</t>
        </is>
      </c>
      <c r="E24" s="41" t="inlineStr">
        <is>
          <t>~75</t>
        </is>
      </c>
      <c r="F24" s="41" t="inlineStr">
        <is>
          <t>$21.6M (last raise 2022)</t>
        </is>
      </c>
      <c r="G24" s="41" t="inlineStr">
        <is>
          <t>Eric Danziger (verify)</t>
        </is>
      </c>
      <c r="H24" s="41" t="inlineStr">
        <is>
          <t>No CRO/VP Sales found; highest sales role is Senior Sales Executive.</t>
        </is>
      </c>
      <c r="I24" s="41" t="inlineStr">
        <is>
          <t>Toyota/Siemens customers; no sales leader.</t>
        </is>
      </c>
      <c r="J24" s="41" t="inlineStr">
        <is>
          <t>Funding is stale (2022) - check budget/headcount trend.</t>
        </is>
      </c>
      <c r="K24" s="41" t="inlineStr">
        <is>
          <t>https://jobs.8vc.com/companies/invisible-ai/jobs/42325556-senior-sales-executive ; https://seedtable.com/companies/invisible-ai</t>
        </is>
      </c>
      <c r="L24" s="42" t="inlineStr">
        <is>
          <t>Not contacted</t>
        </is>
      </c>
      <c r="M24" s="46" t="inlineStr">
        <is>
          <t>NEAR-MISS</t>
        </is>
      </c>
      <c r="N24" s="41" t="inlineStr">
        <is>
          <t>Manufacturing AI, no sales leader found, but LinkedIn lists 11-50 employees and last raise was 2022</t>
        </is>
      </c>
    </row>
    <row r="25" ht="34.5" customHeight="1" s="25">
      <c r="A25" s="39" t="inlineStr">
        <is>
          <t>Oden Technologies</t>
        </is>
      </c>
      <c r="B25" s="45" t="inlineStr">
        <is>
          <t>Tier 2 - Fit, verify 1 item</t>
        </is>
      </c>
      <c r="C25" s="41" t="inlineStr">
        <is>
          <t>Industrial AI for process manufacturing</t>
        </is>
      </c>
      <c r="D25" s="41" t="inlineStr">
        <is>
          <t>New York, NY</t>
        </is>
      </c>
      <c r="E25" s="41" t="inlineStr">
        <is>
          <t>44-54</t>
        </is>
      </c>
      <c r="F25" s="41" t="inlineStr">
        <is>
          <t>$42M (Series B)</t>
        </is>
      </c>
      <c r="G25" s="41" t="inlineStr">
        <is>
          <t>Willem Sundblad</t>
        </is>
      </c>
      <c r="H25" s="41" t="inlineStr">
        <is>
          <t>No CRO/VP Sales/Head of Sales found.</t>
        </is>
      </c>
      <c r="I25" s="41" t="inlineStr">
        <is>
          <t>Core industrial-AI niche; NYC (Colin's time zone).</t>
        </is>
      </c>
      <c r="J25" s="41" t="inlineStr">
        <is>
          <t>Headcount sits right at the 50 floor.</t>
        </is>
      </c>
      <c r="K25" s="41" t="inlineStr">
        <is>
          <t>https://www.reveliolabs.com/companies/oden/employees ; https://mfgnewsdigital.mydigitalpublication.com/article/Oden+Technologies+Appoints+Chief+Technology+Officer/4564524/790011/article.html</t>
        </is>
      </c>
      <c r="L25" s="42" t="inlineStr">
        <is>
          <t>Not contacted</t>
        </is>
      </c>
      <c r="M25" s="43" t="inlineStr">
        <is>
          <t>FAIL</t>
        </is>
      </c>
      <c r="N25" s="41" t="inlineStr">
        <is>
          <t>CRO Sam Cessna + VP Sales (missed in first pass)</t>
        </is>
      </c>
    </row>
    <row r="26" ht="23.25" customHeight="1" s="25">
      <c r="A26" s="39" t="inlineStr">
        <is>
          <t>Instrumental</t>
        </is>
      </c>
      <c r="B26" s="45" t="inlineStr">
        <is>
          <t>Tier 2 - Fit, verify 1 item</t>
        </is>
      </c>
      <c r="C26" s="41" t="inlineStr">
        <is>
          <t>AI quality for electronics manufacturing</t>
        </is>
      </c>
      <c r="D26" s="41" t="inlineStr">
        <is>
          <t>SF Bay Area, CA</t>
        </is>
      </c>
      <c r="E26" s="41" t="inlineStr">
        <is>
          <t>75+</t>
        </is>
      </c>
      <c r="F26" s="41" t="inlineStr">
        <is>
          <t>$81.7M (Series D) + NVentures (Mar 2026)</t>
        </is>
      </c>
      <c r="G26" s="41" t="inlineStr">
        <is>
          <t>Anna-Katrina Shedletsky</t>
        </is>
      </c>
      <c r="H26" s="41" t="inlineStr">
        <is>
          <t>No CRO/VP Sales found in public sources.</t>
        </is>
      </c>
      <c r="I26" s="41" t="inlineStr">
        <is>
          <t>New NVIDIA-backed push into AI server manufacturing.</t>
        </is>
      </c>
      <c r="J26" s="41" t="inlineStr">
        <is>
          <t>Absence of a sales exec is not confirmed - check LinkedIn.</t>
        </is>
      </c>
      <c r="K26" s="41" t="inlineStr">
        <is>
          <t>https://instrumental.com/team ; https://www.fastaijobs.com/companies/instrumental</t>
        </is>
      </c>
      <c r="L26" s="42" t="inlineStr">
        <is>
          <t>Not contacted</t>
        </is>
      </c>
      <c r="M26" s="46" t="inlineStr">
        <is>
          <t>CONDITIONAL</t>
        </is>
      </c>
      <c r="N26" s="41" t="inlineStr">
        <is>
          <t>Manufacturing AI, no sales roles surfaced at all - must confirm on LinkedIn People tab</t>
        </is>
      </c>
    </row>
    <row r="27" ht="23.25" customHeight="1" s="25">
      <c r="A27" s="39" t="inlineStr">
        <is>
          <t>LandingAI</t>
        </is>
      </c>
      <c r="B27" s="45" t="inlineStr">
        <is>
          <t>Tier 2 - Fit, verify 1 item</t>
        </is>
      </c>
      <c r="C27" s="41" t="inlineStr">
        <is>
          <t>Visual AI / agentic document AI</t>
        </is>
      </c>
      <c r="D27" s="41" t="inlineStr">
        <is>
          <t>Palo Alto, CA</t>
        </is>
      </c>
      <c r="E27" s="41" t="inlineStr">
        <is>
          <t>~110</t>
        </is>
      </c>
      <c r="F27" s="41" t="inlineStr">
        <is>
          <t>-</t>
        </is>
      </c>
      <c r="G27" s="41" t="inlineStr">
        <is>
          <t>Dan Maloney (CEO); Andrew Ng (Exec Chair)</t>
        </is>
      </c>
      <c r="H27" s="41" t="inlineStr">
        <is>
          <t>No CRO/VP Sales/Head of Sales found.</t>
        </is>
      </c>
      <c r="I27" s="41" t="inlineStr">
        <is>
          <t>Brand-name founder, enterprise AE hiring.</t>
        </is>
      </c>
      <c r="J27" s="41" t="inlineStr">
        <is>
          <t>Check LinkedIn for an unannounced sales leader.</t>
        </is>
      </c>
      <c r="K27" s="41" t="inlineStr">
        <is>
          <t>https://www.choppingblock.ai/companies/landingai ; https://builtin.com/job/senior-account-executive/7630736</t>
        </is>
      </c>
      <c r="L27" s="42" t="inlineStr">
        <is>
          <t>Not contacted</t>
        </is>
      </c>
      <c r="M27" s="43" t="inlineStr">
        <is>
          <t>FAIL</t>
        </is>
      </c>
      <c r="N27" s="41" t="inlineStr">
        <is>
          <t>Horizontal AI, not industrial; Senior AEs + SEs</t>
        </is>
      </c>
    </row>
    <row r="28" ht="57" customHeight="1" s="25">
      <c r="A28" s="39" t="inlineStr">
        <is>
          <t>Keychain</t>
        </is>
      </c>
      <c r="B28" s="45" t="inlineStr">
        <is>
          <t>Tier 2 - Fit, verify 1 item</t>
        </is>
      </c>
      <c r="C28" s="41" t="inlineStr">
        <is>
          <t>AI manufacturing platform for CPG</t>
        </is>
      </c>
      <c r="D28" s="41" t="inlineStr">
        <is>
          <t>New York, NY</t>
        </is>
      </c>
      <c r="E28" s="41" t="inlineStr">
        <is>
          <t>101-200</t>
        </is>
      </c>
      <c r="F28" s="41" t="inlineStr">
        <is>
          <t>$68M</t>
        </is>
      </c>
      <c r="G28" s="41" t="inlineStr">
        <is>
          <t>Oisin Hanrahan (co-founders Umang Dua, Jordan Weitz)</t>
        </is>
      </c>
      <c r="H28" s="41" t="inlineStr">
        <is>
          <t>No CRO/VP Sales/CCO found (Head of Retail Partnerships hired).</t>
        </is>
      </c>
      <c r="I28" s="41" t="inlineStr">
        <is>
          <t>NYC; marketplace connecting brands and manufacturers.</t>
        </is>
      </c>
      <c r="J28" s="41" t="inlineStr">
        <is>
          <t>Co-founders may own sales - check.</t>
        </is>
      </c>
      <c r="K28" s="41" t="inlineStr">
        <is>
          <t>https://fortune.com/2024/11/19/keychain-series-a-15-million-general-mills-oisin-hanrahan-angis-list-cpg/ ; https://businessandfinance.com/news/business-person-of-the-month-september-2025-oisin-hanrahan-founder-ceo-of-keychain-brings-its-total-funding-to-68-million</t>
        </is>
      </c>
      <c r="L28" s="42" t="inlineStr">
        <is>
          <t>Not contacted</t>
        </is>
      </c>
      <c r="M28" s="43" t="inlineStr">
        <is>
          <t>FAIL</t>
        </is>
      </c>
      <c r="N28" s="41" t="inlineStr">
        <is>
          <t>Sector: CPG marketplace</t>
        </is>
      </c>
    </row>
    <row r="29" ht="23.25" customHeight="1" s="25">
      <c r="A29" s="39" t="inlineStr">
        <is>
          <t>Electric Era</t>
        </is>
      </c>
      <c r="B29" s="45" t="inlineStr">
        <is>
          <t>Tier 2 - Fit, verify 1 item</t>
        </is>
      </c>
      <c r="C29" s="41" t="inlineStr">
        <is>
          <t>EV fast-charging stations (B2B)</t>
        </is>
      </c>
      <c r="D29" s="41" t="inlineStr">
        <is>
          <t>Seattle, WA (verify)</t>
        </is>
      </c>
      <c r="E29" s="41" t="inlineStr">
        <is>
          <t>51-100 (sources conflict)</t>
        </is>
      </c>
      <c r="F29" s="41" t="inlineStr">
        <is>
          <t>~$37-43M</t>
        </is>
      </c>
      <c r="G29" s="41" t="inlineStr">
        <is>
          <t>-</t>
        </is>
      </c>
      <c r="H29" s="41" t="inlineStr">
        <is>
          <t>No CRO in place found; a CRO role was posted.</t>
        </is>
      </c>
      <c r="I29" s="41" t="inlineStr">
        <is>
          <t>Open CRO search (if still live) = fractional bridge pitch.</t>
        </is>
      </c>
      <c r="J29" s="41" t="inlineStr">
        <is>
          <t>CRO posting date unclear - confirm whether filled.</t>
        </is>
      </c>
      <c r="K29" s="41" t="inlineStr">
        <is>
          <t>https://revpath.dealhub.io/jobs/56304528/apply ; https://www.cbinsights.com/company/electric-era/financials</t>
        </is>
      </c>
      <c r="L29" s="42" t="inlineStr">
        <is>
          <t>Not contacted</t>
        </is>
      </c>
      <c r="M29" s="43" t="inlineStr">
        <is>
          <t>FAIL</t>
        </is>
      </c>
      <c r="N29" s="41" t="inlineStr">
        <is>
          <t>Sector: EV charging; CRO search</t>
        </is>
      </c>
    </row>
    <row r="30" ht="34.5" customHeight="1" s="25">
      <c r="A30" s="39" t="inlineStr">
        <is>
          <t>Nominal</t>
        </is>
      </c>
      <c r="B30" s="47" t="inlineStr">
        <is>
          <t>Tier 3 - Near-miss</t>
        </is>
      </c>
      <c r="C30" s="41" t="inlineStr">
        <is>
          <t>Hardware test &amp; ops software</t>
        </is>
      </c>
      <c r="D30" s="41" t="inlineStr">
        <is>
          <t>Los Angeles area, CA</t>
        </is>
      </c>
      <c r="E30" s="41" t="inlineStr">
        <is>
          <t>~258</t>
        </is>
      </c>
      <c r="F30" s="41" t="inlineStr">
        <is>
          <t>$182.5M; $1B valuation (Mar 2026)</t>
        </is>
      </c>
      <c r="G30" s="41" t="inlineStr">
        <is>
          <t>-</t>
        </is>
      </c>
      <c r="H30" s="41" t="inlineStr">
        <is>
          <t>Hiring VP of Sales to build sales 'from the ground up'; Area Directors in place.</t>
        </is>
      </c>
      <c r="I30" s="41" t="inlineStr">
        <is>
          <t>Clear leadership gap.</t>
        </is>
      </c>
      <c r="J30" s="41" t="inlineStr">
        <is>
          <t>Above size range; $1B valuation - likely wants full-time VP.</t>
        </is>
      </c>
      <c r="K30" s="41" t="inlineStr">
        <is>
          <t>https://builtin.com/job/director-sales/6896902 ; https://pulse2.com/nominal-80-million-series-b-2-at-1-billion-valuation-raised-for-hardware-engineering-platform</t>
        </is>
      </c>
      <c r="L30" s="42" t="inlineStr">
        <is>
          <t>Not contacted</t>
        </is>
      </c>
      <c r="M30" s="43" t="inlineStr">
        <is>
          <t>FAIL</t>
        </is>
      </c>
      <c r="N30" s="41" t="inlineStr">
        <is>
          <t>Area Directors + AEs + SDRs; 258 employees</t>
        </is>
      </c>
    </row>
    <row r="31" ht="23.25" customHeight="1" s="25">
      <c r="A31" s="39" t="inlineStr">
        <is>
          <t>Viam</t>
        </is>
      </c>
      <c r="B31" s="47" t="inlineStr">
        <is>
          <t>Tier 3 - Near-miss</t>
        </is>
      </c>
      <c r="C31" s="41" t="inlineStr">
        <is>
          <t>Robotics software platform</t>
        </is>
      </c>
      <c r="D31" s="41" t="inlineStr">
        <is>
          <t>New York, NY</t>
        </is>
      </c>
      <c r="E31" s="41" t="inlineStr">
        <is>
          <t>~260</t>
        </is>
      </c>
      <c r="F31" s="41" t="inlineStr">
        <is>
          <t>$117M</t>
        </is>
      </c>
      <c r="G31" s="41" t="inlineStr">
        <is>
          <t>Eliot Horowitz (verify)</t>
        </is>
      </c>
      <c r="H31" s="41" t="inlineStr">
        <is>
          <t>No CRO/VP Sales found; VP Marketing and Enterprise AEs.</t>
        </is>
      </c>
      <c r="I31" s="41" t="inlineStr">
        <is>
          <t>NYC; no sales exec.</t>
        </is>
      </c>
      <c r="J31" s="41" t="inlineStr">
        <is>
          <t>Above size range.</t>
        </is>
      </c>
      <c r="K31" s="41" t="inlineStr">
        <is>
          <t>https://builtinnyc.com/job/enterprise-account-executive/287583 ; https://www.clay.com/dossier/viam-funding</t>
        </is>
      </c>
      <c r="L31" s="42" t="inlineStr">
        <is>
          <t>Not contacted</t>
        </is>
      </c>
      <c r="M31" s="43" t="inlineStr">
        <is>
          <t>FAIL</t>
        </is>
      </c>
      <c r="N31" s="41" t="inlineStr">
        <is>
          <t>~260 employees; Enterprise AEs</t>
        </is>
      </c>
    </row>
    <row r="32" ht="15" customHeight="1" s="25">
      <c r="A32" s="39" t="inlineStr">
        <is>
          <t>Versatile</t>
        </is>
      </c>
      <c r="B32" s="47" t="inlineStr">
        <is>
          <t>Tier 3 - Near-miss</t>
        </is>
      </c>
      <c r="C32" s="41" t="inlineStr">
        <is>
          <t>Construction crane AI/IoT</t>
        </is>
      </c>
      <c r="D32" s="41" t="inlineStr">
        <is>
          <t>Los Altos, CA</t>
        </is>
      </c>
      <c r="E32" s="41" t="inlineStr">
        <is>
          <t>201-500</t>
        </is>
      </c>
      <c r="F32" s="41" t="inlineStr">
        <is>
          <t>$80M Series B</t>
        </is>
      </c>
      <c r="G32" s="41" t="inlineStr">
        <is>
          <t>Eishay Smith</t>
        </is>
      </c>
      <c r="H32" s="41" t="inlineStr">
        <is>
          <t>No CRO/VP Sales found.</t>
        </is>
      </c>
      <c r="I32" s="41" t="inlineStr">
        <is>
          <t>-</t>
        </is>
      </c>
      <c r="J32" s="41" t="inlineStr">
        <is>
          <t>Above size range.</t>
        </is>
      </c>
      <c r="K32" s="41" t="inlineStr">
        <is>
          <t>https://www.calcalistech.com/articles/0,7340,L-3917874,00.html</t>
        </is>
      </c>
      <c r="L32" s="42" t="inlineStr">
        <is>
          <t>Not contacted</t>
        </is>
      </c>
      <c r="M32" s="43" t="inlineStr">
        <is>
          <t>FAIL</t>
        </is>
      </c>
      <c r="N32" s="41" t="inlineStr">
        <is>
          <t>Construction; 201-500 employees</t>
        </is>
      </c>
    </row>
    <row r="33" ht="23.25" customHeight="1" s="25">
      <c r="A33" s="39" t="inlineStr">
        <is>
          <t>Nimble Robotics</t>
        </is>
      </c>
      <c r="B33" s="47" t="inlineStr">
        <is>
          <t>Tier 3 - Near-miss</t>
        </is>
      </c>
      <c r="C33" s="41" t="inlineStr">
        <is>
          <t>Autonomous fulfillment robotics</t>
        </is>
      </c>
      <c r="D33" s="41" t="inlineStr">
        <is>
          <t>San Francisco, CA</t>
        </is>
      </c>
      <c r="E33" s="41" t="inlineStr">
        <is>
          <t>~307</t>
        </is>
      </c>
      <c r="F33" s="41" t="inlineStr">
        <is>
          <t>$221M; $1B valuation</t>
        </is>
      </c>
      <c r="G33" s="41" t="inlineStr">
        <is>
          <t>Simon Kalouche</t>
        </is>
      </c>
      <c r="H33" s="41" t="inlineStr">
        <is>
          <t>No CRO/VP Sales/CCO found (CFO/COO in place).</t>
        </is>
      </c>
      <c r="I33" s="41" t="inlineStr">
        <is>
          <t>-</t>
        </is>
      </c>
      <c r="J33" s="41" t="inlineStr">
        <is>
          <t>Above size range.</t>
        </is>
      </c>
      <c r="K33" s="41" t="inlineStr">
        <is>
          <t>https://pulse2.com/nimble-ai-based-robotics-company-raises-106-million-series-c/</t>
        </is>
      </c>
      <c r="L33" s="42" t="inlineStr">
        <is>
          <t>Not contacted</t>
        </is>
      </c>
      <c r="M33" s="43" t="inlineStr">
        <is>
          <t>FAIL</t>
        </is>
      </c>
      <c r="N33" s="41" t="inlineStr">
        <is>
          <t>~307 employees; logistics</t>
        </is>
      </c>
    </row>
    <row r="34" ht="23.25" customHeight="1" s="25">
      <c r="A34" s="39" t="inlineStr">
        <is>
          <t>Rebar</t>
        </is>
      </c>
      <c r="B34" s="47" t="inlineStr">
        <is>
          <t>Tier 3 - Near-miss</t>
        </is>
      </c>
      <c r="C34" s="41" t="inlineStr">
        <is>
          <t>AI OS for HVAC/electrical/plumbing suppliers</t>
        </is>
      </c>
      <c r="D34" s="41" t="inlineStr">
        <is>
          <t>New York, NY</t>
        </is>
      </c>
      <c r="E34" s="41" t="inlineStr">
        <is>
          <t>~41</t>
        </is>
      </c>
      <c r="F34" s="41" t="inlineStr">
        <is>
          <t>$14M Series A (Mar 2026)</t>
        </is>
      </c>
      <c r="G34" s="41" t="inlineStr">
        <is>
          <t>Evan Brown</t>
        </is>
      </c>
      <c r="H34" s="41" t="inlineStr">
        <is>
          <t>No CRO/VP Sales found; founder-led.</t>
        </is>
      </c>
      <c r="I34" s="41" t="inlineStr">
        <is>
          <t>Fresh Series A; NYC; industrial distribution.</t>
        </is>
      </c>
      <c r="J34" s="41" t="inlineStr">
        <is>
          <t>Below 50 floor (growing).</t>
        </is>
      </c>
      <c r="K34" s="41" t="inlineStr">
        <is>
          <t>https://news.crunchbase.com/real-estate-property-tech/ai-generated-hvac-quotes-rebar-seriesa/</t>
        </is>
      </c>
      <c r="L34" s="42" t="inlineStr">
        <is>
          <t>Not contacted</t>
        </is>
      </c>
      <c r="M34" s="43" t="inlineStr">
        <is>
          <t>FAIL</t>
        </is>
      </c>
      <c r="N34" s="41" t="inlineStr">
        <is>
          <t>HVAC distribution sector; &lt;50 employees</t>
        </is>
      </c>
    </row>
    <row r="35" ht="23.25" customHeight="1" s="25">
      <c r="A35" s="39" t="inlineStr">
        <is>
          <t>Didero</t>
        </is>
      </c>
      <c r="B35" s="47" t="inlineStr">
        <is>
          <t>Tier 3 - Near-miss</t>
        </is>
      </c>
      <c r="C35" s="41" t="inlineStr">
        <is>
          <t>AI procurement agents for manufacturers</t>
        </is>
      </c>
      <c r="D35" s="41" t="inlineStr">
        <is>
          <t>New York, NY</t>
        </is>
      </c>
      <c r="E35" s="41" t="inlineStr">
        <is>
          <t>~39</t>
        </is>
      </c>
      <c r="F35" s="41" t="inlineStr">
        <is>
          <t>$30M Series A (Feb 2026)</t>
        </is>
      </c>
      <c r="G35" s="41" t="inlineStr">
        <is>
          <t>Tim Spencer</t>
        </is>
      </c>
      <c r="H35" s="41" t="inlineStr">
        <is>
          <t>No CRO/VP Sales found; hiring enterprise sales.</t>
        </is>
      </c>
      <c r="I35" s="41" t="inlineStr">
        <is>
          <t>Fresh Series A; NYC; sells to manufacturers.</t>
        </is>
      </c>
      <c r="J35" s="41" t="inlineStr">
        <is>
          <t>Below 50 floor (growing).</t>
        </is>
      </c>
      <c r="K35" s="41" t="inlineStr">
        <is>
          <t>https://www.digitalcommerce360.com/2026/02/20/didero-30-million-funding-ai-procurement/</t>
        </is>
      </c>
      <c r="L35" s="42" t="inlineStr">
        <is>
          <t>Not contacted</t>
        </is>
      </c>
      <c r="M35" s="43" t="inlineStr">
        <is>
          <t>FAIL</t>
        </is>
      </c>
      <c r="N35" s="41" t="inlineStr">
        <is>
          <t>Founding GTM Executive + Enterprise AE</t>
        </is>
      </c>
    </row>
    <row r="36" ht="34.5" customHeight="1" s="25">
      <c r="A36" s="39" t="inlineStr">
        <is>
          <t>Fox Robotics</t>
        </is>
      </c>
      <c r="B36" s="47" t="inlineStr">
        <is>
          <t>Tier 3 - Near-miss</t>
        </is>
      </c>
      <c r="C36" s="41" t="inlineStr">
        <is>
          <t>Autonomous forklifts</t>
        </is>
      </c>
      <c r="D36" s="41" t="inlineStr">
        <is>
          <t>Austin, TX</t>
        </is>
      </c>
      <c r="E36" s="41" t="inlineStr">
        <is>
          <t>~59</t>
        </is>
      </c>
      <c r="F36" s="41" t="inlineStr">
        <is>
          <t>-</t>
        </is>
      </c>
      <c r="G36" s="41" t="inlineStr">
        <is>
          <t>Marin Tchakarov</t>
        </is>
      </c>
      <c r="H36" s="41" t="inlineStr">
        <is>
          <t>No CRO/VP Sales found; Senior AEs.</t>
        </is>
      </c>
      <c r="I36" s="41" t="inlineStr">
        <is>
          <t>-</t>
        </is>
      </c>
      <c r="J36" s="41" t="inlineStr">
        <is>
          <t>Headcount appears down from ~100 - shrinking flag.</t>
        </is>
      </c>
      <c r="K36" s="41" t="inlineStr">
        <is>
          <t>https://www.supplychain247.com/article/marin_tchakarov_joins_fox_robotics_as_ceo ; https://seedtable.com/companies/fox-robotics/changelog</t>
        </is>
      </c>
      <c r="L36" s="42" t="inlineStr">
        <is>
          <t>Not contacted</t>
        </is>
      </c>
      <c r="M36" s="43" t="inlineStr">
        <is>
          <t>FAIL</t>
        </is>
      </c>
      <c r="N36" s="41" t="inlineStr">
        <is>
          <t>Shrinking headcount; logistics</t>
        </is>
      </c>
    </row>
    <row r="37" ht="23.25" customHeight="1" s="25">
      <c r="A37" s="39" t="inlineStr">
        <is>
          <t>Cobot (Collaborative Robotics)</t>
        </is>
      </c>
      <c r="B37" s="47" t="inlineStr">
        <is>
          <t>Tier 3 - Near-miss</t>
        </is>
      </c>
      <c r="C37" s="41" t="inlineStr">
        <is>
          <t>Collaborative mobile robots</t>
        </is>
      </c>
      <c r="D37" s="41" t="inlineStr">
        <is>
          <t>Santa Clara, CA</t>
        </is>
      </c>
      <c r="E37" s="41" t="inlineStr">
        <is>
          <t>-</t>
        </is>
      </c>
      <c r="F37" s="41" t="inlineStr">
        <is>
          <t>$100M Series B</t>
        </is>
      </c>
      <c r="G37" s="41" t="inlineStr">
        <is>
          <t>Brad Porter</t>
        </is>
      </c>
      <c r="H37" s="41" t="inlineStr">
        <is>
          <t>VP Sales role posted, removed Apr 2026 - probably filled.</t>
        </is>
      </c>
      <c r="I37" s="41" t="inlineStr">
        <is>
          <t>-</t>
        </is>
      </c>
      <c r="J37" s="41" t="inlineStr">
        <is>
          <t>Likely now has a VP Sales - check LinkedIn.</t>
        </is>
      </c>
      <c r="K37" s="41" t="inlineStr">
        <is>
          <t>https://builtin.com/job/vp-sales/8923650 ; https://robotics247.com/article/cobot_raises_100_million_series_b_capital</t>
        </is>
      </c>
      <c r="L37" s="42" t="inlineStr">
        <is>
          <t>Not contacted</t>
        </is>
      </c>
      <c r="M37" s="43" t="inlineStr">
        <is>
          <t>FAIL</t>
        </is>
      </c>
      <c r="N37" s="41" t="inlineStr">
        <is>
          <t>VP Sales/CRO Peter Martinez</t>
        </is>
      </c>
    </row>
    <row r="38" ht="23.25" customHeight="1" s="25">
      <c r="A38" s="39" t="inlineStr">
        <is>
          <t>Fero Labs</t>
        </is>
      </c>
      <c r="B38" s="47" t="inlineStr">
        <is>
          <t>Tier 3 - Near-miss</t>
        </is>
      </c>
      <c r="C38" s="41" t="inlineStr">
        <is>
          <t>Explainable AI for process manufacturing</t>
        </is>
      </c>
      <c r="D38" s="41" t="inlineStr">
        <is>
          <t>New York, NY</t>
        </is>
      </c>
      <c r="E38" s="41" t="inlineStr">
        <is>
          <t>~30</t>
        </is>
      </c>
      <c r="F38" s="41" t="inlineStr">
        <is>
          <t>$9M Series A</t>
        </is>
      </c>
      <c r="G38" s="41" t="inlineStr">
        <is>
          <t>Berk Birand</t>
        </is>
      </c>
      <c r="H38" s="41" t="inlineStr">
        <is>
          <t>No CRO/VP Sales found.</t>
        </is>
      </c>
      <c r="I38" s="41" t="inlineStr">
        <is>
          <t>Core niche; NYC.</t>
        </is>
      </c>
      <c r="J38" s="41" t="inlineStr">
        <is>
          <t>Below 50 floor.</t>
        </is>
      </c>
      <c r="K38" s="41" t="inlineStr">
        <is>
          <t>https://craft.co/fero-labs ; https://pitchbook.com/profiles/company/179829-73</t>
        </is>
      </c>
      <c r="L38" s="42" t="inlineStr">
        <is>
          <t>Not contacted</t>
        </is>
      </c>
      <c r="M38" s="43" t="inlineStr">
        <is>
          <t>FAIL</t>
        </is>
      </c>
      <c r="N38" s="41" t="inlineStr">
        <is>
          <t>VP Sales Steve Walsh</t>
        </is>
      </c>
    </row>
    <row r="39" ht="23.25" customHeight="1" s="25">
      <c r="A39" s="39" t="inlineStr">
        <is>
          <t>Atomic Industries</t>
        </is>
      </c>
      <c r="B39" s="47" t="inlineStr">
        <is>
          <t>Tier 3 - Near-miss</t>
        </is>
      </c>
      <c r="C39" s="41" t="inlineStr">
        <is>
          <t>AI tool &amp; die manufacturing</t>
        </is>
      </c>
      <c r="D39" s="41" t="inlineStr">
        <is>
          <t>Detroit, MI</t>
        </is>
      </c>
      <c r="E39" s="41" t="inlineStr">
        <is>
          <t>~25</t>
        </is>
      </c>
      <c r="F39" s="41" t="inlineStr">
        <is>
          <t>$25M Series A</t>
        </is>
      </c>
      <c r="G39" s="41" t="inlineStr">
        <is>
          <t>Aaron Slodov</t>
        </is>
      </c>
      <c r="H39" s="41" t="inlineStr">
        <is>
          <t>No CRO/VP Sales found.</t>
        </is>
      </c>
      <c r="I39" s="41" t="inlineStr">
        <is>
          <t>Core niche; Midwest.</t>
        </is>
      </c>
      <c r="J39" s="41" t="inlineStr">
        <is>
          <t>Below 50 floor.</t>
        </is>
      </c>
      <c r="K39" s="41" t="inlineStr">
        <is>
          <t>https://pulse2.com/atomic-industries-25-million-secured-to-advance-ai-based-manufacturing</t>
        </is>
      </c>
      <c r="L39" s="42" t="inlineStr">
        <is>
          <t>Not contacted</t>
        </is>
      </c>
      <c r="M39" s="43" t="inlineStr">
        <is>
          <t>FAIL</t>
        </is>
      </c>
      <c r="N39" s="41" t="inlineStr">
        <is>
          <t>Sales &amp; Marketing Director Greg Hamon; ~25 employees</t>
        </is>
      </c>
    </row>
    <row r="40" ht="23.25" customHeight="1" s="25">
      <c r="A40" s="39" t="inlineStr">
        <is>
          <t>Tutor Intelligence</t>
        </is>
      </c>
      <c r="B40" s="47" t="inlineStr">
        <is>
          <t>Tier 3 - Near-miss</t>
        </is>
      </c>
      <c r="C40" s="41" t="inlineStr">
        <is>
          <t>AI robots for manufacturers/co-packers</t>
        </is>
      </c>
      <c r="D40" s="41" t="inlineStr">
        <is>
          <t>Boston, MA</t>
        </is>
      </c>
      <c r="E40" s="41" t="inlineStr">
        <is>
          <t>~20</t>
        </is>
      </c>
      <c r="F40" s="41" t="inlineStr">
        <is>
          <t>$42M (Series A $34M)</t>
        </is>
      </c>
      <c r="G40" s="41" t="inlineStr">
        <is>
          <t>Josh Gruenstein</t>
        </is>
      </c>
      <c r="H40" s="41" t="inlineStr">
        <is>
          <t>No CRO/VP Sales found; mid-market + 7-figure enterprise programs.</t>
        </is>
      </c>
      <c r="I40" s="41" t="inlineStr">
        <is>
          <t>Strong revenue motion; East Coast.</t>
        </is>
      </c>
      <c r="J40" s="41" t="inlineStr">
        <is>
          <t>Below 50 floor.</t>
        </is>
      </c>
      <c r="K40" s="41" t="inlineStr">
        <is>
          <t>https://app.dealroom.co/news/feed/tutor-intelligence-raises-34m-for-ai-robots</t>
        </is>
      </c>
      <c r="L40" s="42" t="inlineStr">
        <is>
          <t>Not contacted</t>
        </is>
      </c>
      <c r="M40" s="43" t="inlineStr">
        <is>
          <t>FAIL</t>
        </is>
      </c>
      <c r="N40" s="41" t="inlineStr">
        <is>
          <t>Head of Sales Adam Lederfarb</t>
        </is>
      </c>
    </row>
    <row r="41" ht="23.25" customHeight="1" s="25">
      <c r="A41" s="39" t="inlineStr">
        <is>
          <t>Terminal Industries</t>
        </is>
      </c>
      <c r="B41" s="47" t="inlineStr">
        <is>
          <t>Tier 3 - Near-miss</t>
        </is>
      </c>
      <c r="C41" s="41" t="inlineStr">
        <is>
          <t>Yard operations AI</t>
        </is>
      </c>
      <c r="D41" s="41" t="inlineStr">
        <is>
          <t>Austin, TX</t>
        </is>
      </c>
      <c r="E41" s="41" t="inlineStr">
        <is>
          <t>~34</t>
        </is>
      </c>
      <c r="F41" s="41" t="inlineStr">
        <is>
          <t>$17-20M (Series A)</t>
        </is>
      </c>
      <c r="G41" s="41" t="inlineStr">
        <is>
          <t>Darin Brannan</t>
        </is>
      </c>
      <c r="H41" s="41" t="inlineStr">
        <is>
          <t>No CRO/VP Sales found (CMO in place).</t>
        </is>
      </c>
      <c r="I41" s="41" t="inlineStr">
        <is>
          <t>-</t>
        </is>
      </c>
      <c r="J41" s="41" t="inlineStr">
        <is>
          <t>Below 50 floor.</t>
        </is>
      </c>
      <c r="K41" s="41" t="inlineStr">
        <is>
          <t>https://betakit.com/?p=408324 ; https://getlatka.com/companies/terminal.io</t>
        </is>
      </c>
      <c r="L41" s="42" t="inlineStr">
        <is>
          <t>Not contacted</t>
        </is>
      </c>
      <c r="M41" s="43" t="inlineStr">
        <is>
          <t>FAIL</t>
        </is>
      </c>
      <c r="N41" s="41" t="inlineStr">
        <is>
          <t>Logistics; &lt;50 employees</t>
        </is>
      </c>
    </row>
  </sheetData>
  <autoFilter ref="A1:N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8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28" min="1" max="1"/>
    <col width="60" customWidth="1" style="28" min="2" max="2"/>
  </cols>
  <sheetData>
    <row r="1" ht="15" customHeight="1" s="25">
      <c r="A1" s="48" t="inlineStr">
        <is>
          <t>Company</t>
        </is>
      </c>
      <c r="B1" s="48" t="inlineStr">
        <is>
          <t>Reason excluded</t>
        </is>
      </c>
    </row>
    <row r="2" ht="15" customHeight="1" s="25">
      <c r="A2" s="49" t="inlineStr">
        <is>
          <t>Covariant</t>
        </is>
      </c>
      <c r="B2" s="49" t="inlineStr">
        <is>
          <t>Headcount 41 and shrinking (-64% over 2 yrs)</t>
        </is>
      </c>
    </row>
    <row r="3" ht="15" customHeight="1" s="25">
      <c r="A3" s="49" t="inlineStr">
        <is>
          <t>Gather AI</t>
        </is>
      </c>
      <c r="B3" s="49" t="inlineStr">
        <is>
          <t>Head of Sales (Christopher Visnic)</t>
        </is>
      </c>
    </row>
    <row r="4" ht="15" customHeight="1" s="25">
      <c r="A4" s="49" t="inlineStr">
        <is>
          <t>Machina Labs</t>
        </is>
      </c>
      <c r="B4" s="49" t="inlineStr">
        <is>
          <t>VP Sales + Chief Business Officer</t>
        </is>
      </c>
    </row>
    <row r="5" ht="15" customHeight="1" s="25">
      <c r="A5" s="49" t="inlineStr">
        <is>
          <t>Path Robotics</t>
        </is>
      </c>
      <c r="B5" s="49" t="inlineStr">
        <is>
          <t>CRO (Heather Carroll) + VP Sales &amp; Marketing</t>
        </is>
      </c>
    </row>
    <row r="6" ht="15" customHeight="1" s="25">
      <c r="A6" s="49" t="inlineStr">
        <is>
          <t>Amper</t>
        </is>
      </c>
      <c r="B6" s="49" t="inlineStr">
        <is>
          <t>CRO (Dustin Deno)</t>
        </is>
      </c>
    </row>
    <row r="7" ht="15" customHeight="1" s="25">
      <c r="A7" s="49" t="inlineStr">
        <is>
          <t>Augmentir</t>
        </is>
      </c>
      <c r="B7" s="49" t="inlineStr">
        <is>
          <t>VP Sales</t>
        </is>
      </c>
    </row>
    <row r="8" ht="15" customHeight="1" s="25">
      <c r="A8" s="49" t="inlineStr">
        <is>
          <t>Elementary</t>
        </is>
      </c>
      <c r="B8" s="49" t="inlineStr">
        <is>
          <t>EVP Sales &amp; Marketing</t>
        </is>
      </c>
    </row>
    <row r="9" ht="15" customHeight="1" s="25">
      <c r="A9" s="49" t="inlineStr">
        <is>
          <t>Realtime Robotics</t>
        </is>
      </c>
      <c r="B9" s="49" t="inlineStr">
        <is>
          <t>CCO promoted to CEO</t>
        </is>
      </c>
    </row>
    <row r="10" ht="15" customHeight="1" s="25">
      <c r="A10" s="49" t="inlineStr">
        <is>
          <t>Pickle Robot</t>
        </is>
      </c>
      <c r="B10" s="49" t="inlineStr">
        <is>
          <t>VP Marketing &amp; Sales</t>
        </is>
      </c>
    </row>
    <row r="11" ht="15" customHeight="1" s="25">
      <c r="A11" s="49" t="inlineStr">
        <is>
          <t>Formic</t>
        </is>
      </c>
      <c r="B11" s="49" t="inlineStr">
        <is>
          <t>VP Sales</t>
        </is>
      </c>
    </row>
    <row r="12" ht="15" customHeight="1" s="25">
      <c r="A12" s="49" t="inlineStr">
        <is>
          <t>Plus One Robotics</t>
        </is>
      </c>
      <c r="B12" s="49" t="inlineStr">
        <is>
          <t>CRO + President/CCO</t>
        </is>
      </c>
    </row>
    <row r="13" ht="15" customHeight="1" s="25">
      <c r="A13" s="49" t="inlineStr">
        <is>
          <t>Ambi Robotics</t>
        </is>
      </c>
      <c r="B13" s="49" t="inlineStr">
        <is>
          <t>VP Sales</t>
        </is>
      </c>
    </row>
    <row r="14" ht="15" customHeight="1" s="25">
      <c r="A14" s="49" t="inlineStr">
        <is>
          <t>Dusty Robotics</t>
        </is>
      </c>
      <c r="B14" s="49" t="inlineStr">
        <is>
          <t>VP Sales</t>
        </is>
      </c>
    </row>
    <row r="15" ht="15" customHeight="1" s="25">
      <c r="A15" s="49" t="inlineStr">
        <is>
          <t>Basetwo</t>
        </is>
      </c>
      <c r="B15" s="49" t="inlineStr">
        <is>
          <t>Co-founder runs sales (CCO)</t>
        </is>
      </c>
    </row>
    <row r="16" ht="15" customHeight="1" s="25">
      <c r="A16" s="49" t="inlineStr">
        <is>
          <t>Arch Systems</t>
        </is>
      </c>
      <c r="B16" s="49" t="inlineStr">
        <is>
          <t>VP Global Sales</t>
        </is>
      </c>
    </row>
    <row r="17" ht="15" customHeight="1" s="25">
      <c r="A17" s="49" t="inlineStr">
        <is>
          <t>Voxel</t>
        </is>
      </c>
      <c r="B17" s="49" t="inlineStr">
        <is>
          <t>Chief Sales Officer</t>
        </is>
      </c>
    </row>
    <row r="18" ht="15" customHeight="1" s="25">
      <c r="A18" s="49" t="inlineStr">
        <is>
          <t>Sight Machine</t>
        </is>
      </c>
      <c r="B18" s="49" t="inlineStr">
        <is>
          <t>CRO</t>
        </is>
      </c>
    </row>
    <row r="19" ht="15" customHeight="1" s="25">
      <c r="A19" s="49" t="inlineStr">
        <is>
          <t>MachineMetrics</t>
        </is>
      </c>
      <c r="B19" s="49" t="inlineStr">
        <is>
          <t>CRO</t>
        </is>
      </c>
    </row>
    <row r="20" ht="15" customHeight="1" s="25">
      <c r="A20" s="49" t="inlineStr">
        <is>
          <t>HighByte</t>
        </is>
      </c>
      <c r="B20" s="49" t="inlineStr">
        <is>
          <t>VP Sales</t>
        </is>
      </c>
    </row>
    <row r="21" ht="15" customHeight="1" s="25">
      <c r="A21" s="49" t="inlineStr">
        <is>
          <t>Proton.ai</t>
        </is>
      </c>
      <c r="B21" s="49" t="inlineStr">
        <is>
          <t>CRO + VP Sales</t>
        </is>
      </c>
    </row>
    <row r="22" ht="15" customHeight="1" s="25">
      <c r="A22" s="49" t="inlineStr">
        <is>
          <t>Gridware</t>
        </is>
      </c>
      <c r="B22" s="49" t="inlineStr">
        <is>
          <t>Sales org with RevOps; CRO reported</t>
        </is>
      </c>
    </row>
    <row r="23" ht="15" customHeight="1" s="25">
      <c r="A23" s="49" t="inlineStr">
        <is>
          <t>Chef Robotics</t>
        </is>
      </c>
      <c r="B23" s="49" t="inlineStr">
        <is>
          <t>VP Sales (hired Jun 2026)</t>
        </is>
      </c>
    </row>
    <row r="24" ht="15" customHeight="1" s="25">
      <c r="A24" s="49" t="inlineStr">
        <is>
          <t>Brightpick</t>
        </is>
      </c>
      <c r="B24" s="49" t="inlineStr">
        <is>
          <t>CRO + CCO</t>
        </is>
      </c>
    </row>
    <row r="25" ht="15" customHeight="1" s="25">
      <c r="A25" s="49" t="inlineStr">
        <is>
          <t>Standard Bots</t>
        </is>
      </c>
      <c r="B25" s="49" t="inlineStr">
        <is>
          <t>CCO</t>
        </is>
      </c>
    </row>
    <row r="26" ht="15" customHeight="1" s="25">
      <c r="A26" s="49" t="inlineStr">
        <is>
          <t>Paperless Parts</t>
        </is>
      </c>
      <c r="B26" s="49" t="inlineStr">
        <is>
          <t>CRO + SVP Sales</t>
        </is>
      </c>
    </row>
    <row r="27" ht="15" customHeight="1" s="25">
      <c r="A27" s="49" t="inlineStr">
        <is>
          <t>Trunk Tools</t>
        </is>
      </c>
      <c r="B27" s="49" t="inlineStr">
        <is>
          <t>VP Sales</t>
        </is>
      </c>
    </row>
    <row r="28" ht="15" customHeight="1" s="25">
      <c r="A28" s="49" t="inlineStr">
        <is>
          <t>Doxel</t>
        </is>
      </c>
      <c r="B28" s="49" t="inlineStr">
        <is>
          <t>CRO</t>
        </is>
      </c>
    </row>
    <row r="29" ht="15" customHeight="1" s="25">
      <c r="A29" s="49" t="inlineStr">
        <is>
          <t>Carbon Robotics</t>
        </is>
      </c>
      <c r="B29" s="49" t="inlineStr">
        <is>
          <t>VP Sales</t>
        </is>
      </c>
    </row>
    <row r="30" ht="15" customHeight="1" s="25">
      <c r="A30" s="49" t="inlineStr">
        <is>
          <t>Augment</t>
        </is>
      </c>
      <c r="B30" s="49" t="inlineStr">
        <is>
          <t>CCO (Justin Hall)</t>
        </is>
      </c>
    </row>
    <row r="31" ht="15" customHeight="1" s="25">
      <c r="A31" s="49" t="inlineStr">
        <is>
          <t>Canvas</t>
        </is>
      </c>
      <c r="B31" s="49" t="inlineStr">
        <is>
          <t>CRO</t>
        </is>
      </c>
    </row>
    <row r="32" ht="15" customHeight="1" s="25">
      <c r="A32" s="49" t="inlineStr">
        <is>
          <t>Third Wave Automation</t>
        </is>
      </c>
      <c r="B32" s="49" t="inlineStr">
        <is>
          <t>VP Sales + CCO</t>
        </is>
      </c>
    </row>
    <row r="33" ht="15" customHeight="1" s="25">
      <c r="A33" s="49" t="inlineStr">
        <is>
          <t>Slip Robotics</t>
        </is>
      </c>
      <c r="B33" s="49" t="inlineStr">
        <is>
          <t>CRO + CCO</t>
        </is>
      </c>
    </row>
    <row r="34" ht="15" customHeight="1" s="25">
      <c r="A34" s="49" t="inlineStr">
        <is>
          <t>Outrider</t>
        </is>
      </c>
      <c r="B34" s="49" t="inlineStr">
        <is>
          <t>VP Sales &amp; Account Mgmt</t>
        </is>
      </c>
    </row>
    <row r="35" ht="15" customHeight="1" s="25">
      <c r="A35" s="49" t="inlineStr">
        <is>
          <t>inVia Robotics</t>
        </is>
      </c>
      <c r="B35" s="49" t="inlineStr">
        <is>
          <t>CRO</t>
        </is>
      </c>
    </row>
    <row r="36" ht="15" customHeight="1" s="25">
      <c r="A36" s="49" t="inlineStr">
        <is>
          <t>Everguard.ai</t>
        </is>
      </c>
      <c r="B36" s="49" t="inlineStr">
        <is>
          <t>CRO + SVP Sales</t>
        </is>
      </c>
    </row>
    <row r="37" ht="15" customHeight="1" s="25">
      <c r="A37" s="49" t="inlineStr">
        <is>
          <t>Sift</t>
        </is>
      </c>
      <c r="B37" s="49" t="inlineStr">
        <is>
          <t>Head of Sales</t>
        </is>
      </c>
    </row>
    <row r="38" ht="15" customHeight="1" s="25">
      <c r="A38" s="49" t="inlineStr">
        <is>
          <t>Pano AI</t>
        </is>
      </c>
      <c r="B38" s="49" t="inlineStr">
        <is>
          <t>Co-founder CCO + VP Sales</t>
        </is>
      </c>
    </row>
    <row r="39" ht="15" customHeight="1" s="25">
      <c r="A39" s="49" t="inlineStr">
        <is>
          <t>Copia Automation</t>
        </is>
      </c>
      <c r="B39" s="49" t="inlineStr">
        <is>
          <t>Head of Commercial &amp; Enterprise Sales</t>
        </is>
      </c>
    </row>
    <row r="40" ht="15" customHeight="1" s="25">
      <c r="A40" s="49" t="inlineStr">
        <is>
          <t>Corvus Robotics</t>
        </is>
      </c>
      <c r="B40" s="49" t="inlineStr">
        <is>
          <t>CRO (Jan 2026)</t>
        </is>
      </c>
    </row>
    <row r="41" ht="15" customHeight="1" s="25">
      <c r="A41" s="49" t="inlineStr">
        <is>
          <t>Glacier</t>
        </is>
      </c>
      <c r="B41" s="49" t="inlineStr">
        <is>
          <t>VP Sales</t>
        </is>
      </c>
    </row>
    <row r="42" ht="15" customHeight="1" s="25">
      <c r="A42" s="49" t="inlineStr">
        <is>
          <t>AMP Robotics</t>
        </is>
      </c>
      <c r="B42" s="49" t="inlineStr">
        <is>
          <t>CCO</t>
        </is>
      </c>
    </row>
    <row r="43" ht="15" customHeight="1" s="25">
      <c r="A43" s="49" t="inlineStr">
        <is>
          <t>Utilidata</t>
        </is>
      </c>
      <c r="B43" s="49" t="inlineStr">
        <is>
          <t>CCO + EVP Sales</t>
        </is>
      </c>
    </row>
    <row r="44" ht="15" customHeight="1" s="25">
      <c r="A44" s="49" t="inlineStr">
        <is>
          <t>Bonsai Robotics</t>
        </is>
      </c>
      <c r="B44" s="49" t="inlineStr">
        <is>
          <t>CRO + CBO</t>
        </is>
      </c>
    </row>
    <row r="45" ht="15" customHeight="1" s="25">
      <c r="A45" s="49" t="inlineStr">
        <is>
          <t>EverestLabs</t>
        </is>
      </c>
      <c r="B45" s="49" t="inlineStr">
        <is>
          <t>SVP + VP Sales</t>
        </is>
      </c>
    </row>
    <row r="46" ht="15" customHeight="1" s="25">
      <c r="A46" s="49" t="inlineStr">
        <is>
          <t>Retrocausal</t>
        </is>
      </c>
      <c r="B46" s="49" t="inlineStr">
        <is>
          <t>VP Sales + Sr Director Sales</t>
        </is>
      </c>
    </row>
    <row r="47" ht="15" customHeight="1" s="25">
      <c r="A47" s="49" t="inlineStr">
        <is>
          <t>Osaro</t>
        </is>
      </c>
      <c r="B47" s="49" t="inlineStr">
        <is>
          <t>VP Sales</t>
        </is>
      </c>
    </row>
    <row r="48" ht="15" customHeight="1" s="25">
      <c r="A48" s="49" t="inlineStr">
        <is>
          <t>SafeAI</t>
        </is>
      </c>
      <c r="B48" s="49" t="inlineStr">
        <is>
          <t>CRO</t>
        </is>
      </c>
    </row>
    <row r="49" ht="15" customHeight="1" s="25">
      <c r="A49" s="49" t="inlineStr">
        <is>
          <t>Teleo</t>
        </is>
      </c>
      <c r="B49" s="49" t="inlineStr">
        <is>
          <t>VP Sales</t>
        </is>
      </c>
    </row>
    <row r="50" ht="15" customHeight="1" s="25">
      <c r="A50" s="49" t="inlineStr">
        <is>
          <t>Lumafield</t>
        </is>
      </c>
      <c r="B50" s="49" t="inlineStr">
        <is>
          <t>Head of Revenue (ex-Xometry CRO)</t>
        </is>
      </c>
    </row>
    <row r="51" ht="15" customHeight="1" s="25">
      <c r="A51" s="49" t="inlineStr">
        <is>
          <t>Document Crunch</t>
        </is>
      </c>
      <c r="B51" s="49" t="inlineStr">
        <is>
          <t>VP Sales</t>
        </is>
      </c>
    </row>
    <row r="52" ht="15" customHeight="1" s="25">
      <c r="A52" s="49" t="inlineStr">
        <is>
          <t>Higharc</t>
        </is>
      </c>
      <c r="B52" s="49" t="inlineStr">
        <is>
          <t>VP Sales &amp; Success</t>
        </is>
      </c>
    </row>
    <row r="53" ht="15" customHeight="1" s="25">
      <c r="A53" s="49" t="inlineStr">
        <is>
          <t>Inkbit</t>
        </is>
      </c>
      <c r="B53" s="49" t="inlineStr">
        <is>
          <t>SVP Commercial</t>
        </is>
      </c>
    </row>
    <row r="54" ht="15" customHeight="1" s="25">
      <c r="A54" s="49" t="inlineStr">
        <is>
          <t>Pactum</t>
        </is>
      </c>
      <c r="B54" s="49" t="inlineStr">
        <is>
          <t>VP Sales</t>
        </is>
      </c>
    </row>
    <row r="55" ht="15" customHeight="1" s="25">
      <c r="A55" s="49" t="inlineStr">
        <is>
          <t>Slate Technologies</t>
        </is>
      </c>
      <c r="B55" s="49" t="inlineStr">
        <is>
          <t>CRO</t>
        </is>
      </c>
    </row>
    <row r="56" ht="15" customHeight="1" s="25">
      <c r="A56" s="49" t="inlineStr">
        <is>
          <t>Pallet</t>
        </is>
      </c>
      <c r="B56" s="49" t="inlineStr">
        <is>
          <t>VP Revenue</t>
        </is>
      </c>
    </row>
    <row r="57" ht="15" customHeight="1" s="25">
      <c r="A57" s="49" t="inlineStr">
        <is>
          <t>Arable</t>
        </is>
      </c>
      <c r="B57" s="49" t="inlineStr">
        <is>
          <t>Chief Business Officer</t>
        </is>
      </c>
    </row>
    <row r="58" ht="15" customHeight="1" s="25">
      <c r="A58" s="49" t="inlineStr">
        <is>
          <t>Alvys</t>
        </is>
      </c>
      <c r="B58" s="49" t="inlineStr">
        <is>
          <t>CRO</t>
        </is>
      </c>
    </row>
    <row r="59" ht="15" customHeight="1" s="25">
      <c r="A59" s="49" t="inlineStr">
        <is>
          <t>Matroid</t>
        </is>
      </c>
      <c r="B59" s="49" t="inlineStr">
        <is>
          <t>Head of Sales</t>
        </is>
      </c>
    </row>
    <row r="60" ht="15" customHeight="1" s="25">
      <c r="A60" s="49" t="inlineStr">
        <is>
          <t>Interplay Learning</t>
        </is>
      </c>
      <c r="B60" s="49" t="inlineStr">
        <is>
          <t>CRO</t>
        </is>
      </c>
    </row>
    <row r="61" ht="15" customHeight="1" s="25">
      <c r="A61" s="49" t="inlineStr">
        <is>
          <t>Nautilus Labs</t>
        </is>
      </c>
      <c r="B61" s="49" t="inlineStr">
        <is>
          <t>CCO + Global Head of Revenue</t>
        </is>
      </c>
    </row>
    <row r="62" ht="15" customHeight="1" s="25">
      <c r="A62" s="49" t="inlineStr">
        <is>
          <t>Duro</t>
        </is>
      </c>
      <c r="B62" s="49" t="inlineStr">
        <is>
          <t>VP Sales</t>
        </is>
      </c>
    </row>
    <row r="63" ht="15" customHeight="1" s="25">
      <c r="A63" s="49" t="inlineStr">
        <is>
          <t>Electrified Thermal</t>
        </is>
      </c>
      <c r="B63" s="49" t="inlineStr">
        <is>
          <t>VP Business Development</t>
        </is>
      </c>
    </row>
    <row r="64" ht="15" customHeight="1" s="25">
      <c r="A64" s="49" t="inlineStr">
        <is>
          <t>House of Design</t>
        </is>
      </c>
      <c r="B64" s="49" t="inlineStr">
        <is>
          <t>CRO + VPs Sales</t>
        </is>
      </c>
    </row>
    <row r="65" ht="15" customHeight="1" s="25">
      <c r="A65" s="49" t="inlineStr">
        <is>
          <t>Persona AI</t>
        </is>
      </c>
      <c r="B65" s="49" t="inlineStr">
        <is>
          <t>Head of Commercial Strategy</t>
        </is>
      </c>
    </row>
    <row r="66" ht="15" customHeight="1" s="25">
      <c r="A66" s="49" t="inlineStr">
        <is>
          <t>Cogniac</t>
        </is>
      </c>
      <c r="B66" s="49" t="inlineStr">
        <is>
          <t>Shrinking (64 -&gt; 42)</t>
        </is>
      </c>
    </row>
    <row r="67" ht="15" customHeight="1" s="25">
      <c r="A67" s="49" t="inlineStr">
        <is>
          <t>Kevala</t>
        </is>
      </c>
      <c r="B67" s="49" t="inlineStr">
        <is>
          <t>Shrinking (80 -&gt; 38)</t>
        </is>
      </c>
    </row>
    <row r="68" ht="15" customHeight="1" s="25">
      <c r="A68" s="49" t="inlineStr">
        <is>
          <t>Skyline Robotics</t>
        </is>
      </c>
      <c r="B68" s="49" t="inlineStr">
        <is>
          <t>Shrinking (47 -&gt; 28)</t>
        </is>
      </c>
    </row>
    <row r="69" ht="15" customHeight="1" s="25">
      <c r="A69" s="49" t="inlineStr">
        <is>
          <t>Built Robotics</t>
        </is>
      </c>
      <c r="B69" s="49" t="inlineStr">
        <is>
          <t>~40 employees</t>
        </is>
      </c>
    </row>
    <row r="70" ht="15" customHeight="1" s="25">
      <c r="A70" s="49" t="inlineStr">
        <is>
          <t>Civ Robotics</t>
        </is>
      </c>
      <c r="B70" s="49" t="inlineStr">
        <is>
          <t>~20-30 employees</t>
        </is>
      </c>
    </row>
    <row r="71" ht="15" customHeight="1" s="25">
      <c r="A71" s="49" t="inlineStr">
        <is>
          <t>Camus Energy</t>
        </is>
      </c>
      <c r="B71" s="49" t="inlineStr">
        <is>
          <t>21-50 employees, no raise since 2024</t>
        </is>
      </c>
    </row>
    <row r="72" ht="15" customHeight="1" s="25">
      <c r="A72" s="49" t="inlineStr">
        <is>
          <t>Quilter</t>
        </is>
      </c>
      <c r="B72" s="49" t="inlineStr">
        <is>
          <t>~30 employees</t>
        </is>
      </c>
    </row>
    <row r="73" ht="15" customHeight="1" s="25">
      <c r="A73" s="49" t="inlineStr">
        <is>
          <t>Cartken</t>
        </is>
      </c>
      <c r="B73" s="49" t="inlineStr">
        <is>
          <t>~31 employees</t>
        </is>
      </c>
    </row>
    <row r="74" ht="15" customHeight="1" s="25">
      <c r="A74" s="49" t="inlineStr">
        <is>
          <t>BotBuilt</t>
        </is>
      </c>
      <c r="B74" s="49" t="inlineStr">
        <is>
          <t>11-50 employees</t>
        </is>
      </c>
    </row>
    <row r="75" ht="15" customHeight="1" s="25">
      <c r="A75" s="49" t="inlineStr">
        <is>
          <t>Vayu Robotics</t>
        </is>
      </c>
      <c r="B75" s="49" t="inlineStr">
        <is>
          <t>~22 employees</t>
        </is>
      </c>
    </row>
    <row r="76" ht="15" customHeight="1" s="25">
      <c r="A76" s="49" t="inlineStr">
        <is>
          <t>Advanced Farm</t>
        </is>
      </c>
      <c r="B76" s="49" t="inlineStr">
        <is>
          <t>Out-of-business flags</t>
        </is>
      </c>
    </row>
    <row r="77" ht="15" customHeight="1" s="25">
      <c r="A77" s="49" t="inlineStr">
        <is>
          <t>FarmWise</t>
        </is>
      </c>
      <c r="B77" s="49" t="inlineStr">
        <is>
          <t>Wound down / acquired</t>
        </is>
      </c>
    </row>
    <row r="78" ht="15" customHeight="1" s="25">
      <c r="A78" s="49" t="inlineStr">
        <is>
          <t>Pronto</t>
        </is>
      </c>
      <c r="B78" s="49" t="inlineStr">
        <is>
          <t>Acquired (Atoms)</t>
        </is>
      </c>
    </row>
    <row r="79" ht="15" customHeight="1" s="25">
      <c r="A79" s="49" t="inlineStr">
        <is>
          <t>Monumental</t>
        </is>
      </c>
      <c r="B79" s="49" t="inlineStr">
        <is>
          <t>Netherlands HQ</t>
        </is>
      </c>
    </row>
    <row r="80" ht="15" customHeight="1" s="25">
      <c r="A80" s="49" t="inlineStr">
        <is>
          <t>Antora Energy</t>
        </is>
      </c>
      <c r="B80" s="49" t="inlineStr">
        <is>
          <t>$550M raise; VP Strategy &amp; Growth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B125"/>
  <sheetViews>
    <sheetView workbookViewId="0">
      <selection activeCell="A1" sqref="A1"/>
    </sheetView>
  </sheetViews>
  <sheetFormatPr baseColWidth="8" defaultRowHeight="15"/>
  <cols>
    <col width="40" customWidth="1" style="25" min="1" max="1"/>
    <col width="110" customWidth="1" style="25" min="2" max="2"/>
  </cols>
  <sheetData>
    <row r="1">
      <c r="A1" s="50" t="inlineStr">
        <is>
          <t>Company</t>
        </is>
      </c>
      <c r="B1" s="50" t="inlineStr">
        <is>
          <t>Reason (from LinkedIn / employee-directory search results)</t>
        </is>
      </c>
    </row>
    <row r="2">
      <c r="A2" s="51" t="inlineStr">
        <is>
          <t>Gauss Labs</t>
        </is>
      </c>
      <c r="B2" s="27" t="inlineStr">
        <is>
          <t>Directories (rocketreach/leadiq) list Jung Lim as Head of Strategic Growth and a Business Development Manager (Hyewon Kang). That is a growth leader, so rule 4 fails. ~75 employees split between San Jose and Seoul; SK Hynix subsidiary.</t>
        </is>
      </c>
    </row>
    <row r="3">
      <c r="A3" s="51" t="inlineStr">
        <is>
          <t>XMPro</t>
        </is>
      </c>
      <c r="B3" s="27" t="inlineStr">
        <is>
          <t>Warren Jackson is Business Development Director (North America), per zoominfo/rocketreach. ~47-51 employees, Dallas HQ, Australian roots.</t>
        </is>
      </c>
    </row>
    <row r="4">
      <c r="A4" s="51" t="inlineStr">
        <is>
          <t>ThinkIQ</t>
        </is>
      </c>
      <c r="B4" s="27" t="inlineStr">
        <is>
          <t>~16 employees per theorg/leadiq, too small. Recruiting Chief Sales Officer / Head of Sales.</t>
        </is>
      </c>
    </row>
    <row r="5">
      <c r="A5" s="51" t="inlineStr">
        <is>
          <t>Aitomatic</t>
        </is>
      </c>
      <c r="B5" s="27" t="inlineStr">
        <is>
          <t>Too small (~20-30). Has an APAC business development representative.</t>
        </is>
      </c>
    </row>
    <row r="6">
      <c r="A6" s="51" t="inlineStr">
        <is>
          <t>Drishti Technologies</t>
        </is>
      </c>
      <c r="B6" s="27" t="inlineStr">
        <is>
          <t>~115 employees. Zoominfo directory lists a Director of Sales (J.F.), a Presales Director (Joe L.) and a Sales Manager. CEO Gary Jackson is a hired CEO, so sales is not founder-led.</t>
        </is>
      </c>
    </row>
    <row r="7">
      <c r="A7" s="51" t="inlineStr">
        <is>
          <t>Imubit</t>
        </is>
      </c>
      <c r="B7" s="27" t="inlineStr">
        <is>
          <t>Built-out sales org: Director of Enterprise Sales, a Gulf Coast region sales team manager, and sales/BD org-building roles.</t>
        </is>
      </c>
    </row>
    <row r="8">
      <c r="A8" s="51" t="inlineStr">
        <is>
          <t>LeanDNA</t>
        </is>
      </c>
      <c r="B8" s="27" t="inlineStr">
        <is>
          <t>Has a Chief Revenue Officer (Jim Kanir).</t>
        </is>
      </c>
    </row>
    <row r="9">
      <c r="A9" s="51" t="inlineStr">
        <is>
          <t>Petasense</t>
        </is>
      </c>
      <c r="B9" s="27" t="inlineStr">
        <is>
          <t>~21 employees, too small. Has a Senior AE and an Enterprise AE.</t>
        </is>
      </c>
    </row>
    <row r="10">
      <c r="A10" s="51" t="inlineStr">
        <is>
          <t>Nanotronics</t>
        </is>
      </c>
      <c r="B10" s="27" t="inlineStr">
        <is>
          <t>Sales Director Bill Henderson and a President (Peter Hopkins). ~60 employees.</t>
        </is>
      </c>
    </row>
    <row r="11">
      <c r="A11" s="51" t="inlineStr">
        <is>
          <t>Sepasoft</t>
        </is>
      </c>
      <c r="B11" s="27" t="inlineStr">
        <is>
          <t>~28 employees. Has a Sr. Director of Sales (Reggie Valin), an inside sales rep and an AE.</t>
        </is>
      </c>
    </row>
    <row r="12">
      <c r="A12" s="51" t="inlineStr">
        <is>
          <t>Vorne Industries</t>
        </is>
      </c>
      <c r="B12" s="27" t="inlineStr">
        <is>
          <t>~31 employees. VP Sales Adam Moran.</t>
        </is>
      </c>
    </row>
    <row r="13">
      <c r="A13" s="51" t="inlineStr">
        <is>
          <t>Element Analytics</t>
        </is>
      </c>
      <c r="B13" s="27" t="inlineStr">
        <is>
          <t>~22 employees, shrinking.</t>
        </is>
      </c>
    </row>
    <row r="14">
      <c r="A14" s="51" t="inlineStr">
        <is>
          <t>AssetWatch</t>
        </is>
      </c>
      <c r="B14" s="27" t="inlineStr">
        <is>
          <t>CRO Brian Ratliff, VP Enterprise Sales and VP Revenue Operations.</t>
        </is>
      </c>
    </row>
    <row r="15">
      <c r="A15" s="51" t="inlineStr">
        <is>
          <t>Waites</t>
        </is>
      </c>
      <c r="B15" s="27" t="inlineStr">
        <is>
          <t>Has a CRO and several VPs of Sales (Chase Chancellor, Nicholas Schaefer, Chris Sobota).</t>
        </is>
      </c>
    </row>
    <row r="16">
      <c r="A16" s="51" t="inlineStr">
        <is>
          <t>Everactive</t>
        </is>
      </c>
      <c r="B16" s="27" t="inlineStr">
        <is>
          <t>VP Sales &amp; Marketing Brian Alessi and VP Business Development John Greenfield.</t>
        </is>
      </c>
    </row>
    <row r="17">
      <c r="A17" s="51" t="inlineStr">
        <is>
          <t>KCF Technologies</t>
        </is>
      </c>
      <c r="B17" s="27" t="inlineStr">
        <is>
          <t>SVP Sales &amp; Marketing Kevin Vincent, VP Sales Tyler Vial, and a sales department of ~23.</t>
        </is>
      </c>
    </row>
    <row r="18">
      <c r="A18" s="51" t="inlineStr">
        <is>
          <t>Neurala</t>
        </is>
      </c>
      <c r="B18" s="27" t="inlineStr">
        <is>
          <t>~29-32 employees, too small and shrinking.</t>
        </is>
      </c>
    </row>
    <row r="19">
      <c r="A19" s="51" t="inlineStr">
        <is>
          <t>Lincode Labs</t>
        </is>
      </c>
      <c r="B19" s="27" t="inlineStr">
        <is>
          <t>Global Director of Sales Matt Mansour.</t>
        </is>
      </c>
    </row>
    <row r="20">
      <c r="A20" s="51" t="inlineStr">
        <is>
          <t>Motivo</t>
        </is>
      </c>
      <c r="B20" s="27" t="inlineStr">
        <is>
          <t>~12 employees. Has a VP of Sales.</t>
        </is>
      </c>
    </row>
    <row r="21">
      <c r="A21" s="51" t="inlineStr">
        <is>
          <t>Glimpse</t>
        </is>
      </c>
      <c r="B21" s="27" t="inlineStr">
        <is>
          <t>VP of Sales Jeffrey Spiro and a sales team of ~10 (AE, SDR, sales manager).</t>
        </is>
      </c>
    </row>
    <row r="22">
      <c r="A22" s="51" t="inlineStr">
        <is>
          <t>Apprentice.io (Tempo)</t>
        </is>
      </c>
      <c r="B22" s="27" t="inlineStr">
        <is>
          <t>Has a Chief Revenue Officer on its leadership team per theorg.</t>
        </is>
      </c>
    </row>
    <row r="23">
      <c r="A23" s="51" t="inlineStr">
        <is>
          <t>QbDVision</t>
        </is>
      </c>
      <c r="B23" s="27" t="inlineStr">
        <is>
          <t>Chief Business Officer (M.S.) on the leadership team. ~66 employees.</t>
        </is>
      </c>
    </row>
    <row r="24">
      <c r="A24" s="51" t="inlineStr">
        <is>
          <t>Dyndrite</t>
        </is>
      </c>
      <c r="B24" s="27" t="inlineStr">
        <is>
          <t>VPs of Sales (Michael Humphrey, Anthony Graves) and VP Business Development Stephen Anderson.</t>
        </is>
      </c>
    </row>
    <row r="25">
      <c r="A25" s="51" t="inlineStr">
        <is>
          <t>Steelhead Technologies</t>
        </is>
      </c>
      <c r="B25" s="27" t="inlineStr">
        <is>
          <t>VP of Sales, a Head of Business Development, AEs and ~23 people in sales.</t>
        </is>
      </c>
    </row>
    <row r="26">
      <c r="A26" s="51" t="inlineStr">
        <is>
          <t>Canary Labs</t>
        </is>
      </c>
      <c r="B26" s="27" t="inlineStr">
        <is>
          <t>Director of Sales Michael Hayden, Director of Business Development, and a President with a commercial role.</t>
        </is>
      </c>
    </row>
    <row r="27">
      <c r="A27" s="51" t="inlineStr">
        <is>
          <t>dataPARC (Capstone Technology)</t>
        </is>
      </c>
      <c r="B27" s="27" t="inlineStr">
        <is>
          <t>Director of Sales - Americas Alex Tate, plus a sales manager.</t>
        </is>
      </c>
    </row>
    <row r="28">
      <c r="A28" s="51" t="inlineStr">
        <is>
          <t>Flutura</t>
        </is>
      </c>
      <c r="B28" s="27" t="inlineStr">
        <is>
          <t>Acquired by Accenture and India HQ. Had a CRO and a VP Solution Sales.</t>
        </is>
      </c>
    </row>
    <row r="29">
      <c r="A29" s="51" t="inlineStr">
        <is>
          <t>Entytle</t>
        </is>
      </c>
      <c r="B29" s="27" t="inlineStr">
        <is>
          <t>No usable evidence found. Not verified, so not passed.</t>
        </is>
      </c>
    </row>
    <row r="30">
      <c r="A30" s="51" t="inlineStr">
        <is>
          <t>Harmoni</t>
        </is>
      </c>
      <c r="B30" s="27" t="inlineStr">
        <is>
          <t>~21 employees, too small. Series A Sept 2026.</t>
        </is>
      </c>
    </row>
    <row r="31">
      <c r="A31" s="51" t="inlineStr">
        <is>
          <t>Leucine</t>
        </is>
      </c>
      <c r="B31" s="27" t="inlineStr">
        <is>
          <t>HQ and team mostly in India. Has a Business Head (Sumanth Chinta) and Enterprise AEs.</t>
        </is>
      </c>
    </row>
    <row r="32">
      <c r="A32" s="51" t="inlineStr">
        <is>
          <t>Akridata</t>
        </is>
      </c>
      <c r="B32" s="27" t="inlineStr">
        <is>
          <t>Director of Sales Dylan Fouts, VP Technical Sales, and a BD manager.</t>
        </is>
      </c>
    </row>
    <row r="33">
      <c r="A33" s="51" t="inlineStr">
        <is>
          <t>Relimetrics</t>
        </is>
      </c>
      <c r="B33" s="27" t="inlineStr">
        <is>
          <t>~13 employees. VP of Sales Mark Micnik.</t>
        </is>
      </c>
    </row>
    <row r="34">
      <c r="A34" s="51" t="inlineStr">
        <is>
          <t>UptimeAI</t>
        </is>
      </c>
      <c r="B34" s="27" t="inlineStr">
        <is>
          <t>Several Sales Directors, Head of Sales APAC, VP GTM, Sr Director RevOps and a BDR.</t>
        </is>
      </c>
    </row>
    <row r="35">
      <c r="A35" s="51" t="inlineStr">
        <is>
          <t>DIMAAG-AI</t>
        </is>
      </c>
      <c r="B35" s="27" t="inlineStr">
        <is>
          <t>Chief Commercial Officer Deepak Pingalay and VP Business Development Sadha Kameswaran. Also does EV powertrain work.</t>
        </is>
      </c>
    </row>
    <row r="36">
      <c r="A36" s="51" t="inlineStr">
        <is>
          <t>Mariner (Spyglass)</t>
        </is>
      </c>
      <c r="B36" s="27" t="inlineStr">
        <is>
          <t>VP of Business Development (William Burnham, Donald Dudley).</t>
        </is>
      </c>
    </row>
    <row r="37">
      <c r="A37" s="51" t="inlineStr">
        <is>
          <t>Net-Inspect</t>
        </is>
      </c>
      <c r="B37" s="27" t="inlineStr">
        <is>
          <t>~23 employees. Directors of Sales &amp; Marketing.</t>
        </is>
      </c>
    </row>
    <row r="38">
      <c r="A38" s="51" t="inlineStr">
        <is>
          <t>ProShop ERP</t>
        </is>
      </c>
      <c r="B38" s="27" t="inlineStr">
        <is>
          <t>VP Sales George Hogan, Director of BD, and a 27-person sales department with an SDR team.</t>
        </is>
      </c>
    </row>
    <row r="39">
      <c r="A39" s="51" t="inlineStr">
        <is>
          <t>Fulcrum Pro</t>
        </is>
      </c>
      <c r="B39" s="27" t="inlineStr">
        <is>
          <t>Has a sales development team and sales department (~81 employees), so not founder-led.</t>
        </is>
      </c>
    </row>
    <row r="40">
      <c r="A40" s="51" t="inlineStr">
        <is>
          <t>L2L (Leading2Lean)</t>
        </is>
      </c>
      <c r="B40" s="27" t="inlineStr">
        <is>
          <t>CRO Ryan Burke and a VP Sales.</t>
        </is>
      </c>
    </row>
    <row r="41">
      <c r="A41" s="51" t="inlineStr">
        <is>
          <t>Dozuki</t>
        </is>
      </c>
      <c r="B41" s="27" t="inlineStr">
        <is>
          <t>SVP of Sales Kevin Gay and public-sector AEs.</t>
        </is>
      </c>
    </row>
    <row r="42">
      <c r="A42" s="51" t="inlineStr">
        <is>
          <t>Losant</t>
        </is>
      </c>
      <c r="B42" s="27" t="inlineStr">
        <is>
          <t>Acquired by SUSE in Feb 2026. ~6-18 employees. Has a Director of Business Development.</t>
        </is>
      </c>
    </row>
    <row r="43">
      <c r="A43" s="51" t="inlineStr">
        <is>
          <t>ClearBlade</t>
        </is>
      </c>
      <c r="B43" s="27" t="inlineStr">
        <is>
          <t>VP of Sales John Jenkins.</t>
        </is>
      </c>
    </row>
    <row r="44">
      <c r="A44" s="51" t="inlineStr">
        <is>
          <t>Voltaiq</t>
        </is>
      </c>
      <c r="B44" s="27" t="inlineStr">
        <is>
          <t>~30 employees, too small.</t>
        </is>
      </c>
    </row>
    <row r="45">
      <c r="A45" s="51" t="inlineStr">
        <is>
          <t>Exosite</t>
        </is>
      </c>
      <c r="B45" s="27" t="inlineStr">
        <is>
          <t>History of VP Sales and a built sales org. Shrunken.</t>
        </is>
      </c>
    </row>
    <row r="46">
      <c r="A46" s="51" t="inlineStr">
        <is>
          <t>iBase-t</t>
        </is>
      </c>
      <c r="B46" s="27" t="inlineStr">
        <is>
          <t>CRO Sebastian Grady and a VP Global Sales.</t>
        </is>
      </c>
    </row>
    <row r="47">
      <c r="A47" s="51" t="inlineStr">
        <is>
          <t>Aegis Software</t>
        </is>
      </c>
      <c r="B47" s="27" t="inlineStr">
        <is>
          <t>Global VP Sales Paul Price and an 18-person sales department.</t>
        </is>
      </c>
    </row>
    <row r="48">
      <c r="A48" s="51" t="inlineStr">
        <is>
          <t>Parsec Automation</t>
        </is>
      </c>
      <c r="B48" s="27" t="inlineStr">
        <is>
          <t>EVP Global Sales Chris Jones, VP Business Development and a Director of Sales Ops.</t>
        </is>
      </c>
    </row>
    <row r="49">
      <c r="A49" s="51" t="inlineStr">
        <is>
          <t>Taqtile</t>
        </is>
      </c>
      <c r="B49" s="27" t="inlineStr">
        <is>
          <t>VP North American Sales Joe Clukey.</t>
        </is>
      </c>
    </row>
    <row r="50">
      <c r="A50" s="51" t="inlineStr">
        <is>
          <t>Scope AR</t>
        </is>
      </c>
      <c r="B50" s="27" t="inlineStr">
        <is>
          <t>Head of Business Development David Nedohin and a Director of Sales &amp; Solutions.</t>
        </is>
      </c>
    </row>
    <row r="51">
      <c r="A51" s="51" t="inlineStr">
        <is>
          <t>Simio</t>
        </is>
      </c>
      <c r="B51" s="27" t="inlineStr">
        <is>
          <t>VP Global Sales Dan Vasalani. Hired CEO, so not founder-led.</t>
        </is>
      </c>
    </row>
    <row r="52">
      <c r="A52" s="51" t="inlineStr">
        <is>
          <t>FlexSim</t>
        </is>
      </c>
      <c r="B52" s="27" t="inlineStr">
        <is>
          <t>Integrated into Autodesk. Has a Director of Marketing &amp; BD.</t>
        </is>
      </c>
    </row>
    <row r="53">
      <c r="A53" s="51" t="inlineStr">
        <is>
          <t>Leela AI</t>
        </is>
      </c>
      <c r="B53" s="27" t="inlineStr">
        <is>
          <t>~21 employees, too small.</t>
        </is>
      </c>
    </row>
    <row r="54">
      <c r="A54" s="51" t="inlineStr">
        <is>
          <t>Ease.io</t>
        </is>
      </c>
      <c r="B54" s="27" t="inlineStr">
        <is>
          <t>CRO Russell Mullin and VP Sales Dennis Cook.</t>
        </is>
      </c>
    </row>
    <row r="55">
      <c r="A55" s="51" t="inlineStr">
        <is>
          <t>Cofactr</t>
        </is>
      </c>
      <c r="B55" s="27" t="inlineStr">
        <is>
          <t>VP Sales Robert Segal, VP BD Edward Dodd and a Director of Sales. Also supply-chain sector.</t>
        </is>
      </c>
    </row>
    <row r="56">
      <c r="A56" s="51" t="inlineStr">
        <is>
          <t>Flux.ai</t>
        </is>
      </c>
      <c r="B56" s="27" t="inlineStr">
        <is>
          <t>Product-led growth PCB design tool for engineers with no enterprise sales motion. Hiring a Head of Revenue/Growth for self-serve. Not factory software.</t>
        </is>
      </c>
    </row>
    <row r="57">
      <c r="A57" s="51" t="inlineStr">
        <is>
          <t>Toric</t>
        </is>
      </c>
      <c r="B57" s="27" t="inlineStr">
        <is>
          <t>Construction data sector. ~33 employees.</t>
        </is>
      </c>
    </row>
    <row r="58">
      <c r="A58" s="51" t="inlineStr">
        <is>
          <t>Trener Robotics (formerly T-Robotics)</t>
        </is>
      </c>
      <c r="B58" s="27" t="inlineStr">
        <is>
          <t>VP of Sales Jacob Pascual Pape, Sales Director John Marioni, Channel Sales Manager Lincoln Frazier (LinkedIn)</t>
        </is>
      </c>
    </row>
    <row r="59">
      <c r="A59" s="51" t="inlineStr">
        <is>
          <t>Hirebotics</t>
        </is>
      </c>
      <c r="B59" s="27" t="inlineStr">
        <is>
          <t>VP of Sales Tate Allen plus an SDR (Gaurav Shetty) (LinkedIn)</t>
        </is>
      </c>
    </row>
    <row r="60">
      <c r="A60" s="51" t="inlineStr">
        <is>
          <t>Vectis Automation</t>
        </is>
      </c>
      <c r="B60" s="27" t="inlineStr">
        <is>
          <t>Co-founder Josh Pawley is VP Business Development; also has a regional manager and account managers</t>
        </is>
      </c>
    </row>
    <row r="61">
      <c r="A61" s="51" t="inlineStr">
        <is>
          <t>Productive Robotics</t>
        </is>
      </c>
      <c r="B61" s="27" t="inlineStr">
        <is>
          <t>Has a Vice President (Jacob Beahan), sales/BD staff and a head of international sales; likely under 50 employees</t>
        </is>
      </c>
    </row>
    <row r="62">
      <c r="A62" s="51" t="inlineStr">
        <is>
          <t>Flexxbotics</t>
        </is>
      </c>
      <c r="B62" s="27" t="inlineStr">
        <is>
          <t>About 15 employees (ZoomInfo); Director of Sales Alex Vogt (RocketReach)</t>
        </is>
      </c>
    </row>
    <row r="63">
      <c r="A63" s="51" t="inlineStr">
        <is>
          <t>Jacobi Robotics</t>
        </is>
      </c>
      <c r="B63" s="27" t="inlineStr">
        <is>
          <t>2-10 employees</t>
        </is>
      </c>
    </row>
    <row r="64">
      <c r="A64" s="51" t="inlineStr">
        <is>
          <t>Mantis Robotics</t>
        </is>
      </c>
      <c r="B64" s="27" t="inlineStr">
        <is>
          <t>11-50 employees</t>
        </is>
      </c>
    </row>
    <row r="65">
      <c r="A65" s="51" t="inlineStr">
        <is>
          <t>Wilder Systems</t>
        </is>
      </c>
      <c r="B65" s="27" t="inlineStr">
        <is>
          <t>11-50 employees; aerospace/defense RaaS; VP/GM in place</t>
        </is>
      </c>
    </row>
    <row r="66">
      <c r="A66" s="51" t="inlineStr">
        <is>
          <t>Palladyne AI (ex-Sarcos)</t>
        </is>
      </c>
      <c r="B66" s="27" t="inlineStr">
        <is>
          <t>Chief Commercial Officer Kristi Martindale; defense-heavy</t>
        </is>
      </c>
    </row>
    <row r="67">
      <c r="A67" s="51" t="inlineStr">
        <is>
          <t>Liberty Reach / Liberty Robotics</t>
        </is>
      </c>
      <c r="B67" s="27" t="inlineStr">
        <is>
          <t>VP Business Development David Holmes; key account sales staff</t>
        </is>
      </c>
    </row>
    <row r="68">
      <c r="A68" s="51" t="inlineStr">
        <is>
          <t>Daedalus</t>
        </is>
      </c>
      <c r="B68" s="27" t="inlineStr">
        <is>
          <t>HQ Karlsruhe, Germany; had an interim Head of Sales</t>
        </is>
      </c>
    </row>
    <row r="69">
      <c r="A69" s="51" t="inlineStr">
        <is>
          <t>Glimpse (battery CT inspection)</t>
        </is>
      </c>
      <c r="B69" s="27" t="inlineStr">
        <is>
          <t>VP of Sales Jeffrey Spiro</t>
        </is>
      </c>
    </row>
    <row r="70">
      <c r="A70" s="51" t="inlineStr">
        <is>
          <t>Soft Robotics</t>
        </is>
      </c>
      <c r="B70" s="27" t="inlineStr">
        <is>
          <t>Director of Business Development Mike Welborn; now focused on food automation</t>
        </is>
      </c>
    </row>
    <row r="71">
      <c r="A71" s="51" t="inlineStr">
        <is>
          <t>Averroes.ai</t>
        </is>
      </c>
      <c r="B71" s="27" t="inlineStr">
        <is>
          <t>11-50 employees; semiconductor inspection</t>
        </is>
      </c>
    </row>
    <row r="72">
      <c r="A72" s="51" t="inlineStr">
        <is>
          <t>ABAGY Robotic Systems</t>
        </is>
      </c>
      <c r="B72" s="27" t="inlineStr">
        <is>
          <t>CRO David Suttle, VP Sales &amp; BD Antonina Bondareva, Director of BD Randy Friedlander</t>
        </is>
      </c>
    </row>
    <row r="73">
      <c r="A73" s="51" t="inlineStr">
        <is>
          <t>RobCo</t>
        </is>
      </c>
      <c r="B73" s="27" t="inlineStr">
        <is>
          <t>German-origin with a large sales/pre-sales org (Lead BD Franziska Herrmann, Head of Concept Engineering leading pre-sales)</t>
        </is>
      </c>
    </row>
    <row r="74">
      <c r="A74" s="51" t="inlineStr">
        <is>
          <t>Rapid Robotics</t>
        </is>
      </c>
      <c r="B74" s="27" t="inlineStr">
        <is>
          <t>Shrinking; history of Director of BD and a VP BD req; GTM/RevOps staff</t>
        </is>
      </c>
    </row>
    <row r="75">
      <c r="A75" s="51" t="inlineStr">
        <is>
          <t>Drishti</t>
        </is>
      </c>
      <c r="B75" s="27" t="inlineStr">
        <is>
          <t>Director of Sales listed in a directory; video analytics rather than robotics; partly India-based</t>
        </is>
      </c>
    </row>
    <row r="76">
      <c r="A76" s="51" t="inlineStr">
        <is>
          <t>CarbonSix</t>
        </is>
      </c>
      <c r="B76" s="27" t="inlineStr">
        <is>
          <t>Too small (1-10 per ZoomInfo); team largely in Korea</t>
        </is>
      </c>
    </row>
    <row r="77">
      <c r="A77" s="51" t="inlineStr">
        <is>
          <t>3D Infotech</t>
        </is>
      </c>
      <c r="B77" s="27" t="inlineStr">
        <is>
          <t>National Sales Director Kirk Dennis</t>
        </is>
      </c>
    </row>
    <row r="78">
      <c r="A78" s="51" t="inlineStr">
        <is>
          <t>PushCorp</t>
        </is>
      </c>
      <c r="B78" s="27" t="inlineStr">
        <is>
          <t>Under 50 employees with several sales engineers and a Michigan sales office</t>
        </is>
      </c>
    </row>
    <row r="79">
      <c r="A79" s="51" t="inlineStr">
        <is>
          <t>SoftWear Automation</t>
        </is>
      </c>
      <c r="B79" s="27" t="inlineStr">
        <is>
          <t>Chief Commercial Officer (Jacob Fueston per SignalHire; others listed) and a President of International Business; about 48 employees</t>
        </is>
      </c>
    </row>
    <row r="80">
      <c r="A80" s="51" t="inlineStr">
        <is>
          <t>GelSight</t>
        </is>
      </c>
      <c r="B80" s="27" t="inlineStr">
        <is>
          <t>VP of Global Sales Thierry Mantel; Chief Business Officer Dennis Lang</t>
        </is>
      </c>
    </row>
    <row r="81">
      <c r="A81" s="51" t="inlineStr">
        <is>
          <t>Foundation (Foundation Future Industries)</t>
        </is>
      </c>
      <c r="B81" s="27" t="inlineStr">
        <is>
          <t>General-purpose and military humanoids; defense sector</t>
        </is>
      </c>
    </row>
    <row r="82">
      <c r="A82" s="51" t="inlineStr">
        <is>
          <t>Reflex Robotics</t>
        </is>
      </c>
      <c r="B82" s="27" t="inlineStr">
        <is>
          <t>2-10 employees</t>
        </is>
      </c>
    </row>
    <row r="83">
      <c r="A83" s="51" t="inlineStr">
        <is>
          <t>Arris Composites</t>
        </is>
      </c>
      <c r="B83" s="27" t="inlineStr">
        <is>
          <t>VP Business Development role</t>
        </is>
      </c>
    </row>
    <row r="84">
      <c r="A84" s="51" t="inlineStr">
        <is>
          <t>Mantle</t>
        </is>
      </c>
      <c r="B84" s="27" t="inlineStr">
        <is>
          <t>Sales Director Michael Skaja; BDR hiring; previously had a VP Sales</t>
        </is>
      </c>
    </row>
    <row r="85">
      <c r="A85" s="51" t="inlineStr">
        <is>
          <t>FORT Robotics</t>
        </is>
      </c>
      <c r="B85" s="27" t="inlineStr">
        <is>
          <t>CRO Andrei Resmerita, VP BD Doug Riffle, VP Sales Austin Blais</t>
        </is>
      </c>
    </row>
    <row r="86">
      <c r="A86" s="51" t="inlineStr">
        <is>
          <t>WorkFar Robotics</t>
        </is>
      </c>
      <c r="B86" s="27" t="inlineStr">
        <is>
          <t>About 2 employees per RocketReach; unclear US operations</t>
        </is>
      </c>
    </row>
    <row r="87">
      <c r="A87" s="51" t="inlineStr">
        <is>
          <t>Industrial Next</t>
        </is>
      </c>
      <c r="B87" s="27" t="inlineStr">
        <is>
          <t>About 11 employees</t>
        </is>
      </c>
    </row>
    <row r="88">
      <c r="A88" s="51" t="inlineStr">
        <is>
          <t>Workr Labs</t>
        </is>
      </c>
      <c r="B88" s="27" t="inlineStr">
        <is>
          <t>About 8-10 employees</t>
        </is>
      </c>
    </row>
    <row r="89">
      <c r="A89" s="51" t="inlineStr">
        <is>
          <t>TerraFirma</t>
        </is>
      </c>
      <c r="B89" s="27" t="inlineStr">
        <is>
          <t>Construction robotics (auto-fail sector)</t>
        </is>
      </c>
    </row>
    <row r="90">
      <c r="A90" s="51" t="inlineStr">
        <is>
          <t>Alloy Enterprises</t>
        </is>
      </c>
      <c r="B90" s="27" t="inlineStr">
        <is>
          <t>VP Sales &amp; Marketing Jim Golden; AE Stephen Jackson</t>
        </is>
      </c>
    </row>
    <row r="91">
      <c r="A91" s="51" t="inlineStr">
        <is>
          <t>Fabric8Labs</t>
        </is>
      </c>
      <c r="B91" s="27" t="inlineStr">
        <is>
          <t>VP Commercialization Michael Matthews; acquired by TDK</t>
        </is>
      </c>
    </row>
    <row r="92">
      <c r="A92" s="51" t="inlineStr">
        <is>
          <t>Carnegie Robotics</t>
        </is>
      </c>
      <c r="B92" s="27" t="inlineStr">
        <is>
          <t>Chief Development Officer Mike Embrescia; VP Revenue Operations Brian Leininger</t>
        </is>
      </c>
    </row>
    <row r="93">
      <c r="A93" s="51" t="inlineStr">
        <is>
          <t>RIOS Intelligent Machines</t>
        </is>
      </c>
      <c r="B93" s="27" t="inlineStr">
        <is>
          <t>Two VPs of Business Development; company is winding down</t>
        </is>
      </c>
    </row>
    <row r="94">
      <c r="A94" s="51" t="inlineStr">
        <is>
          <t>Southie Autonomy</t>
        </is>
      </c>
      <c r="B94" s="27" t="inlineStr">
        <is>
          <t>11-50 employees; has a sales/BD person</t>
        </is>
      </c>
    </row>
    <row r="95">
      <c r="A95" s="51" t="inlineStr">
        <is>
          <t>Genesis AI</t>
        </is>
      </c>
      <c r="B95" s="27" t="inlineStr">
        <is>
          <t>VP of Commercial &amp; Strategy Vivian Sun; general-purpose robotics (horizontal)</t>
        </is>
      </c>
    </row>
    <row r="96">
      <c r="A96" s="51" t="inlineStr">
        <is>
          <t>Seurat Technologies</t>
        </is>
      </c>
      <c r="B96" s="27" t="inlineStr">
        <is>
          <t>Director of Market Development plus an Associate Director of Sales req; headcount sources vary from 105 to 160, possibly shrinking</t>
        </is>
      </c>
    </row>
    <row r="97">
      <c r="A97" s="51" t="inlineStr">
        <is>
          <t>Continuous Composites</t>
        </is>
      </c>
      <c r="B97" s="27" t="inlineStr">
        <is>
          <t>CRO Steve Starner, Sales Director, Director of BD, Director of A&amp;D Sales</t>
        </is>
      </c>
    </row>
    <row r="98">
      <c r="A98" s="51" t="inlineStr">
        <is>
          <t>Orbital Composites</t>
        </is>
      </c>
      <c r="B98" s="27" t="inlineStr">
        <is>
          <t>Defense/space-focused and likely under 50 employees</t>
        </is>
      </c>
    </row>
    <row r="99">
      <c r="A99" s="51" t="inlineStr">
        <is>
          <t>Rise Robotics</t>
        </is>
      </c>
      <c r="B99" s="27" t="inlineStr">
        <is>
          <t>Construction/heavy-machinery actuators (auto-fail sector); hiring a BD manager; under 50 employees</t>
        </is>
      </c>
    </row>
    <row r="100">
      <c r="A100" s="51" t="inlineStr">
        <is>
          <t>ARIX Technologies</t>
        </is>
      </c>
      <c r="B100" s="27" t="inlineStr">
        <is>
          <t>SVP Global Sales Joe Bourgeois; petrochemical pipe inspection (energy-adjacent)</t>
        </is>
      </c>
    </row>
    <row r="101">
      <c r="A101" s="51" t="inlineStr">
        <is>
          <t>RoboForce</t>
        </is>
      </c>
      <c r="B101" s="27" t="inlineStr">
        <is>
          <t>Head of Business Development Nikhil Dhongade; 11-50 employees</t>
        </is>
      </c>
    </row>
    <row r="102">
      <c r="A102" s="51" t="inlineStr">
        <is>
          <t>Mantle (SF, metal 3D printing for tooling)</t>
        </is>
      </c>
      <c r="B102" s="27" t="inlineStr">
        <is>
          <t>VP of Sales Dana McCallum and Senior Director of Sales Travis Buckingham (LinkedIn), and hiring BDRs and a BD manager</t>
        </is>
      </c>
    </row>
    <row r="103">
      <c r="A103" s="51" t="inlineStr">
        <is>
          <t>Alloy Enterprises (Burlington MA, aluminum additive)</t>
        </is>
      </c>
      <c r="B103" s="27" t="inlineStr">
        <is>
          <t>VP Sales &amp; Marketing Jim Golden plus 2+ regional Account Executives (LinkedIn)</t>
        </is>
      </c>
    </row>
    <row r="104">
      <c r="A104" s="51" t="inlineStr">
        <is>
          <t>OSH Cut (Orem UT, software-defined sheet metal)</t>
        </is>
      </c>
      <c r="B104" s="27" t="inlineStr">
        <is>
          <t>About 11-50 employees on LinkedIn, below the 50 minimum</t>
        </is>
      </c>
    </row>
    <row r="105">
      <c r="A105" s="51" t="inlineStr">
        <is>
          <t>Cofactr (electronics supply chain/PCBA procurement)</t>
        </is>
      </c>
      <c r="B105" s="27" t="inlineStr">
        <is>
          <t>Director of Sales Nino Hardin, a sales leader (Robert Segal), and AE/SDR/GTM job reqs</t>
        </is>
      </c>
    </row>
    <row r="106">
      <c r="A106" s="51" t="inlineStr">
        <is>
          <t>Dyndrite (Seattle, AM software)</t>
        </is>
      </c>
      <c r="B106" s="27" t="inlineStr">
        <is>
          <t>VP of Sales Anthony Graves (LinkedIn)</t>
        </is>
      </c>
    </row>
    <row r="107">
      <c r="A107" s="51" t="inlineStr">
        <is>
          <t>Uniformity Labs (Fremont, AM powders)</t>
        </is>
      </c>
      <c r="B107" s="27" t="inlineStr">
        <is>
          <t>Director of Sales Terry Cambron (ZoomInfo/RocketReach); 11-50 employees</t>
        </is>
      </c>
    </row>
    <row r="108">
      <c r="A108" s="51" t="inlineStr">
        <is>
          <t>Fortify (Boston, composite 3D printing)</t>
        </is>
      </c>
      <c r="B108" s="27" t="inlineStr">
        <is>
          <t>Had a Director of Sales, a Director of RF BD and a Sales Manager in 2022-23 (ZoomInfo). Current team and headcount trend could not be verified, so not passed</t>
        </is>
      </c>
    </row>
    <row r="109">
      <c r="A109" s="51" t="inlineStr">
        <is>
          <t>Seurat Technologies (Wilmington MA, area-printing metal AM parts)</t>
        </is>
      </c>
      <c r="B109" s="27" t="inlineStr">
        <is>
          <t>Borderline, dropped. About 105-160 employees and the co-founder CEO (James DeMuth) leads, but John Rushton is Director of Market Development (RocketReach), effectively a BD director title. Worth a manual look if that title is judged non-sales</t>
        </is>
      </c>
    </row>
    <row r="110">
      <c r="A110" s="51" t="inlineStr">
        <is>
          <t>Continuous Composites (Idaho)</t>
        </is>
      </c>
      <c r="B110" s="27" t="inlineStr">
        <is>
          <t>CEO also holds the CRO title; Sales Director Josh Randles, a Director of BD, a Director of A&amp;D Sales, and an open VP Sales req</t>
        </is>
      </c>
    </row>
    <row r="111">
      <c r="A111" s="51" t="inlineStr">
        <is>
          <t>ARRIS Composites (Berkeley)</t>
        </is>
      </c>
      <c r="B111" s="27" t="inlineStr">
        <is>
          <t>Director, Aerospace &amp; Defense (Melissa Lavey) and VP Marketing (Elizabeth Griffin-Isabelle). Has a commercial structure, so not passed</t>
        </is>
      </c>
    </row>
    <row r="112">
      <c r="A112" s="51" t="inlineStr">
        <is>
          <t>Rangeview (LA, AI-driven foundry)</t>
        </is>
      </c>
      <c r="B112" s="27" t="inlineStr">
        <is>
          <t>About 37 employees (RocketReach); also a Director of Partnerships</t>
        </is>
      </c>
    </row>
    <row r="113">
      <c r="A113" s="51" t="inlineStr">
        <is>
          <t>Firestorm Labs (drone manufacturing)</t>
        </is>
      </c>
      <c r="B113" s="27" t="inlineStr">
        <is>
          <t>Co-founder and CGO Chad McCoy, a Director of Strategic Partnerships and a BD team; also defense-focused</t>
        </is>
      </c>
    </row>
    <row r="114">
      <c r="A114" s="51" t="inlineStr">
        <is>
          <t>Fabric8Labs (San Diego, electrochemical AM)</t>
        </is>
      </c>
      <c r="B114" s="27" t="inlineStr">
        <is>
          <t>VP Commercialization Michael Matthews; being acquired by TDK</t>
        </is>
      </c>
    </row>
    <row r="115">
      <c r="A115" s="51" t="inlineStr">
        <is>
          <t>Atomic Machines (Emeryville, micro-manufacturing)</t>
        </is>
      </c>
      <c r="B115" s="27" t="inlineStr">
        <is>
          <t>VP Go-To-Market Stephen Drinan (theorg.com)</t>
        </is>
      </c>
    </row>
    <row r="116">
      <c r="A116" s="51" t="inlineStr">
        <is>
          <t>VulcanForms (Burlington MA)</t>
        </is>
      </c>
      <c r="B116" s="27" t="inlineStr">
        <is>
          <t>VP of Business Development Danielle Wilkerson, and hiring sales reps</t>
        </is>
      </c>
    </row>
    <row r="117">
      <c r="A117" s="51" t="inlineStr">
        <is>
          <t>Elementum 3D (Erie CO, AM alloys)</t>
        </is>
      </c>
      <c r="B117" s="27" t="inlineStr">
        <is>
          <t>Sales team on theorg: Sales Manager, National Account Manager, Account Executive and sales reps</t>
        </is>
      </c>
    </row>
    <row r="118">
      <c r="A118" s="51" t="inlineStr">
        <is>
          <t>MacroFab (Houston, PCBA)</t>
        </is>
      </c>
      <c r="B118" s="27" t="inlineStr">
        <is>
          <t>Account sales team led by Seth Waschitz, plus AE hiring and a VP Marketing</t>
        </is>
      </c>
    </row>
    <row r="119">
      <c r="A119" s="51" t="inlineStr">
        <is>
          <t>Zeda (Fremont, medical/tech AM)</t>
        </is>
      </c>
      <c r="B119" s="27" t="inlineStr">
        <is>
          <t>Unverified. Acquired an orthopaedic implant company, which usually brings a sales force. Sales roles could not be confirmed, so not passed</t>
        </is>
      </c>
    </row>
    <row r="120">
      <c r="A120" s="51" t="inlineStr">
        <is>
          <t>Nanotronics (Brooklyn, AI inspection)</t>
        </is>
      </c>
      <c r="B120" s="27" t="inlineStr">
        <is>
          <t>Sales Director Bill Henderson and a President, Peter Hopkins</t>
        </is>
      </c>
    </row>
    <row r="121">
      <c r="A121" s="51" t="inlineStr">
        <is>
          <t>Boston Micro Fabrication (BMF)</t>
        </is>
      </c>
      <c r="B121" s="27" t="inlineStr">
        <is>
          <t>Director of Sales North America E.J. Nordstrom, plus a sales engineer and channel sales</t>
        </is>
      </c>
    </row>
    <row r="122">
      <c r="A122" s="51" t="inlineStr">
        <is>
          <t>Phoenix Tailings (Burlington MA, metals)</t>
        </is>
      </c>
      <c r="B122" s="27" t="inlineStr">
        <is>
          <t>Co-founder and VP of Partnerships Anthony Balladon (commercial co-founder); mining/metals sector is borderline</t>
        </is>
      </c>
    </row>
    <row r="123">
      <c r="A123" s="51" t="inlineStr">
        <is>
          <t>Orbital Composites (Campbell CA)</t>
        </is>
      </c>
      <c r="B123" s="27" t="inlineStr">
        <is>
          <t>About 10-25 employees (ZoomInfo/RocketReach), below the 50 minimum</t>
        </is>
      </c>
    </row>
    <row r="124">
      <c r="A124" s="51" t="inlineStr">
        <is>
          <t>Backflip AI (scan-to-CAD)</t>
        </is>
      </c>
      <c r="B124" s="27" t="inlineStr">
        <is>
          <t>Head of Sales Ken Clayton, Sales Leads Page Buckman and Liroy Ozinci, and AE hiring</t>
        </is>
      </c>
    </row>
    <row r="125">
      <c r="A125" s="51" t="inlineStr">
        <is>
          <t>Steelhead Technologies (MES for finishing shops)</t>
        </is>
      </c>
      <c r="B125" s="27" t="inlineStr">
        <is>
          <t>Has a CRO (BDR Manager job reports to the CRO), plus Account Executives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53"/>
  <sheetViews>
    <sheetView workbookViewId="0">
      <selection activeCell="A1" sqref="A1"/>
    </sheetView>
  </sheetViews>
  <sheetFormatPr baseColWidth="8" defaultRowHeight="15"/>
  <cols>
    <col width="40" customWidth="1" style="25" min="1" max="1"/>
    <col width="110" customWidth="1" style="25" min="2" max="2"/>
  </cols>
  <sheetData>
    <row r="1">
      <c r="A1" s="50" t="inlineStr">
        <is>
          <t>Company</t>
        </is>
      </c>
      <c r="B1" s="50" t="inlineStr">
        <is>
          <t>Reason</t>
        </is>
      </c>
    </row>
    <row r="2">
      <c r="A2" s="51" t="inlineStr">
        <is>
          <t>CONTINUUS Pharmaceuticals</t>
        </is>
      </c>
      <c r="B2" s="27" t="inlineStr">
        <is>
          <t>Has an SVP, Head of Commercial (Dean Hopkins) and a Director of Business Development (Keith Barbato), plus BD associates. Directories show about 25 employees.</t>
        </is>
      </c>
    </row>
    <row r="3">
      <c r="A3" s="51" t="inlineStr">
        <is>
          <t>Cell X Technologies</t>
        </is>
      </c>
      <c r="B3" s="27" t="inlineStr">
        <is>
          <t>Too small: 1-10 employees per directories. It also has a VP Operations who oversees sales and marketing.</t>
        </is>
      </c>
    </row>
    <row r="4">
      <c r="A4" s="51" t="inlineStr">
        <is>
          <t>Kytopen</t>
        </is>
      </c>
      <c r="B4" s="27" t="inlineStr">
        <is>
          <t>Has a Chief Commercial Officer (Kevin Gutshall), a VP Business Development, a Senior Director of Sales and several Senior Directors of Scientific BD.</t>
        </is>
      </c>
    </row>
    <row r="5">
      <c r="A5" s="51" t="inlineStr">
        <is>
          <t>Akadeum Life Sciences</t>
        </is>
      </c>
      <c r="B5" s="27" t="inlineStr">
        <is>
          <t>Has a VP Sales &amp; Marketing (Alexander Bukrinsky) and a VP Strategic Partnerships.</t>
        </is>
      </c>
    </row>
    <row r="6">
      <c r="A6" s="51" t="inlineStr">
        <is>
          <t>Quartic.ai</t>
        </is>
      </c>
      <c r="B6" s="27" t="inlineStr">
        <is>
          <t>Has a Sales Director (Scott Drap, on theorg) and a second Sales Director, plus a VP Marketing. Directories show about 47 employees.</t>
        </is>
      </c>
    </row>
    <row r="7">
      <c r="A7" s="51" t="inlineStr">
        <is>
          <t>Nirrin Technologies</t>
        </is>
      </c>
      <c r="B7" s="27" t="inlineStr">
        <is>
          <t>Has a Director of Sales (Evan Cooke). Directories show about 21 employees, which is below the size floor.</t>
        </is>
      </c>
    </row>
    <row r="8">
      <c r="A8" s="51" t="inlineStr">
        <is>
          <t>LumaCyte</t>
        </is>
      </c>
      <c r="B8" s="27" t="inlineStr">
        <is>
          <t>Has a President &amp; Chief Business Officer (Renee Hart, on theorg) and has had a Director of BD.</t>
        </is>
      </c>
    </row>
    <row r="9">
      <c r="A9" s="51" t="inlineStr">
        <is>
          <t>On Demand Pharmaceuticals</t>
        </is>
      </c>
      <c r="B9" s="27" t="inlineStr">
        <is>
          <t>Has a Chief Strategy and Commercial Officer. It is also mainly a drug maker (Pharmacy on Demand) rather than a tech vendor to manufacturers.</t>
        </is>
      </c>
    </row>
    <row r="10">
      <c r="A10" s="51" t="inlineStr">
        <is>
          <t>Title21 Health Solutions</t>
        </is>
      </c>
      <c r="B10" s="27" t="inlineStr">
        <is>
          <t>Has a VP Sales &amp; Partnerships and a Director of BD. Directories show about 34 employees, based in Phoenix.</t>
        </is>
      </c>
    </row>
    <row r="11">
      <c r="A11" s="51" t="inlineStr">
        <is>
          <t>Invert</t>
        </is>
      </c>
      <c r="B11" s="27" t="inlineStr">
        <is>
          <t>Its job post for a Life Sciences Account Executive references an existing Head of Business Development.</t>
        </is>
      </c>
    </row>
    <row r="12">
      <c r="A12" s="51" t="inlineStr">
        <is>
          <t>Culture Biosciences</t>
        </is>
      </c>
      <c r="B12" s="27" t="inlineStr">
        <is>
          <t>Has a built sales org: Account Director, Business Development and Senior Account Executive roles posted.</t>
        </is>
      </c>
    </row>
    <row r="13">
      <c r="A13" s="51" t="inlineStr">
        <is>
          <t>Pow.bio</t>
        </is>
      </c>
      <c r="B13" s="27" t="inlineStr">
        <is>
          <t>Sector mismatch: its continuous fermentation is sold mainly to food and precision-fermentation customers (MeliBio honey, Bühler), not drug manufacturers. It is hiring a Senior Director of BD, and its size was not verified.</t>
        </is>
      </c>
    </row>
    <row r="14">
      <c r="A14" s="51" t="inlineStr">
        <is>
          <t>Sware (Res_Q)</t>
        </is>
      </c>
      <c r="B14" s="27" t="inlineStr">
        <is>
          <t>Not verified, and likely has a sales team: about 69 employees and an estimated $21.6M in revenue for a SaaS company. Its sales roles could not be confirmed, so it was not passed.</t>
        </is>
      </c>
    </row>
    <row r="15">
      <c r="A15" s="51" t="inlineStr">
        <is>
          <t>Indee Labs</t>
        </is>
      </c>
      <c r="B15" s="27" t="inlineStr">
        <is>
          <t>Not verifiable: directory results mixed it up with Indee.tv, and its headcount and sales roles could not be confirmed. An Account Manager was listed. It is likely under 50 employees.</t>
        </is>
      </c>
    </row>
    <row r="16">
      <c r="A16" s="51" t="inlineStr">
        <is>
          <t>Cellular Origins</t>
        </is>
      </c>
      <c r="B16" s="27" t="inlineStr">
        <is>
          <t>Headquartered in the UK (Melbourn).</t>
        </is>
      </c>
    </row>
    <row r="17">
      <c r="A17" s="51" t="inlineStr">
        <is>
          <t>Artos / 83 Sciences / Tamarind Bio</t>
        </is>
      </c>
      <c r="B17" s="27" t="inlineStr">
        <is>
          <t>Found on job boards hiring a founding AE. Out of sector: they sell R&amp;D documentation, materials discovery and drug-discovery compute, not manufacturing tech. Also likely under 20 employees.</t>
        </is>
      </c>
    </row>
    <row r="18">
      <c r="A18" s="51" t="inlineStr">
        <is>
          <t>Arena / Arena Physica (NYC, AI hardware test/verification)</t>
        </is>
      </c>
      <c r="B18" s="27" t="inlineStr">
        <is>
          <t>Edson Greenwood leads Aerospace &amp; Defense, which is a vertical commercial leader role, and Nathan Petrie is Head of Deployment Strategy. The platform is also sold across many sectors (AMD, Bausch &amp; Lomb, defense), so it is not clearly a manufacturing-tech company. Too uncertain to pass.</t>
        </is>
      </c>
    </row>
    <row r="19">
      <c r="A19" s="51" t="inlineStr">
        <is>
          <t>SandBox Semiconductor (Austin)</t>
        </is>
      </c>
      <c r="B19" s="27" t="inlineStr">
        <is>
          <t>Only about 18 employees, which is below even the near-miss floor. A LinkedIn profile titled 'Executive Business Development' (Shane Nelson) also came up in the company search.</t>
        </is>
      </c>
    </row>
    <row r="20">
      <c r="A20" s="51" t="inlineStr">
        <is>
          <t>Liminal (Liminal Insights, Emeryville; battery ultrasound inspection)</t>
        </is>
      </c>
      <c r="B20" s="27" t="inlineStr">
        <is>
          <t>Has a sales org. A LinkedIn post shows James Carrington as VP Business Development, the summary says Melissa Holler was hired as VP of Sales, and Sneha Solanki works in BD. Fails rule 4.</t>
        </is>
      </c>
    </row>
    <row r="21">
      <c r="A21" s="51" t="inlineStr">
        <is>
          <t>Sigray (Concord CA, X-ray metrology)</t>
        </is>
      </c>
      <c r="B21" s="27" t="inlineStr">
        <is>
          <t>Anasuya Adibhatla is Director, Technical Sales and Marketing (SignalHire title). A sales director (Steven Neptun) is also listed. Fails rule 4.</t>
        </is>
      </c>
    </row>
    <row r="22">
      <c r="A22" s="51" t="inlineStr">
        <is>
          <t>Multibeam Corp (Santa Clara, e-beam lithography)</t>
        </is>
      </c>
      <c r="B22" s="27" t="inlineStr">
        <is>
          <t>Has an SVP Sales &amp; Strategy, and a President (Lynn Barringer) alongside CEO David Lam. Fails rule 4.</t>
        </is>
      </c>
    </row>
    <row r="23">
      <c r="A23" s="51" t="inlineStr">
        <is>
          <t>xLight (Palo Alto, EUV free-electron laser)</t>
        </is>
      </c>
      <c r="B23" s="27" t="inlineStr">
        <is>
          <t>Kevin Heidrich is listed as Chief Commercial Officer, and his LinkedIn profile came up in the xLight search. There is also a VP Global Policy &amp; Public Sector Partnerships. Fails rule 4.</t>
        </is>
      </c>
    </row>
    <row r="24">
      <c r="A24" s="51" t="inlineStr">
        <is>
          <t>Halo Industries (Santa Clara, laser SiC wafering)</t>
        </is>
      </c>
      <c r="B24" s="27" t="inlineStr">
        <is>
          <t>Vinod Nair is listed as VP, Head of Sales and Marketing, and Kim Butler as a former VP Business Development. Fails rule 4.</t>
        </is>
      </c>
    </row>
    <row r="25">
      <c r="A25" s="51" t="inlineStr">
        <is>
          <t>NovaCentrix (Austin, printed-electronics inks/photonic curing)</t>
        </is>
      </c>
      <c r="B25" s="27" t="inlineStr">
        <is>
          <t>Rudresh Ghosh is VP, Business &amp; Applications Development. The company is also mainly a materials/ink company. Fails rule 4.</t>
        </is>
      </c>
    </row>
    <row r="26">
      <c r="A26" s="51" t="inlineStr">
        <is>
          <t>EUV Tech (Martinez CA, EUV metrology)</t>
        </is>
      </c>
      <c r="B26" s="27" t="inlineStr">
        <is>
          <t>Christine Disbrow is Director of Business Development (her LinkedIn profile came up under EUV Tech), and Ali Husain is Director, Customer Success. Fails rule 4.</t>
        </is>
      </c>
    </row>
    <row r="27">
      <c r="A27" s="51" t="inlineStr">
        <is>
          <t>Cetec ERP (Austin, ERP for electronics manufacturers)</t>
        </is>
      </c>
      <c r="B27" s="27" t="inlineStr">
        <is>
          <t>Has a sales org: Tanner Rogers is Sales Director, plus an Executive Account Manager, an AE and an Account Manager. About 49 employees. Fails rules 4 and 5.</t>
        </is>
      </c>
    </row>
    <row r="28">
      <c r="A28" s="51" t="inlineStr">
        <is>
          <t>Reno Sub-Systems (Reno NV, RF matching/power for fabs)</t>
        </is>
      </c>
      <c r="B28" s="27" t="inlineStr">
        <is>
          <t>Bill Suber is Director of Business Development. The company also has only 11-50 employees. Fails rule 4.</t>
        </is>
      </c>
    </row>
    <row r="29">
      <c r="A29" s="51" t="inlineStr">
        <is>
          <t>SixSense</t>
        </is>
      </c>
      <c r="B29" s="27" t="inlineStr">
        <is>
          <t>Headquartered in Singapore, not the US.</t>
        </is>
      </c>
    </row>
    <row r="30">
      <c r="A30" s="51" t="inlineStr">
        <is>
          <t>Nearfield Instruments / Delvitech / Wooptix / Invisix / AlixLabs / Galatek / Nexstrom</t>
        </is>
      </c>
      <c r="B30" s="27" t="inlineStr">
        <is>
          <t>Not US-headquartered (Netherlands, Switzerland, Spain, EU, Sweden, China, Singapore).</t>
        </is>
      </c>
    </row>
    <row r="31">
      <c r="A31" s="51" t="inlineStr">
        <is>
          <t>Substrate / Besxar</t>
        </is>
      </c>
      <c r="B31" s="27" t="inlineStr">
        <is>
          <t>Building their own fabs or making materials, not selling manufacturing tech to fabs. No B2B motion to build yet. Not checked further.</t>
        </is>
      </c>
    </row>
    <row r="32">
      <c r="A32" s="51" t="inlineStr">
        <is>
          <t>AM Batteries</t>
        </is>
      </c>
      <c r="B32" s="27" t="inlineStr">
        <is>
          <t>Has a Chief Commercial Officer (Franz Fink), a Business Development Director (Christopher Mohajer) and a Marketing Director, per ContactOut/ZoomInfo. About 64 employees in Billerica, MA.</t>
        </is>
      </c>
    </row>
    <row r="33">
      <c r="A33" s="51" t="inlineStr">
        <is>
          <t>Liminal Insights</t>
        </is>
      </c>
      <c r="B33" s="27" t="inlineStr">
        <is>
          <t>A search summary said Melissa Holler was appointed VP of Sales. Her name did not appear in any result title, but I rejected the company to avoid a wrong pass.</t>
        </is>
      </c>
    </row>
    <row r="34">
      <c r="A34" s="51" t="inlineStr">
        <is>
          <t>Nanoramic Laboratories</t>
        </is>
      </c>
      <c r="B34" s="27" t="inlineStr">
        <is>
          <t>A CEO post advertises a Business Development Director role. The search summary also named VP Business Development holders, though not in any result title.</t>
        </is>
      </c>
    </row>
    <row r="35">
      <c r="A35" s="51" t="inlineStr">
        <is>
          <t>Forge Nano</t>
        </is>
      </c>
      <c r="B35" s="27" t="inlineStr">
        <is>
          <t>Has a Chief Commercial Officer (Craig Steinroeder) and a Senior Sales Director, plus a sales department of about 6 people.</t>
        </is>
      </c>
    </row>
    <row r="36">
      <c r="A36" s="51" t="inlineStr">
        <is>
          <t>Titan Advanced Energy Solutions</t>
        </is>
      </c>
      <c r="B36" s="27" t="inlineStr">
        <is>
          <t>Has a VP Sales &amp; Business Development (Julian Bourne). Also only 39 employees.</t>
        </is>
      </c>
    </row>
    <row r="37">
      <c r="A37" s="51" t="inlineStr">
        <is>
          <t>Sakuu</t>
        </is>
      </c>
      <c r="B37" s="27" t="inlineStr">
        <is>
          <t>Directory shows 4 sales staff among about 86 employees, which looks like a built sales function. No clean founder-led signal.</t>
        </is>
      </c>
    </row>
    <row r="38">
      <c r="A38" s="51" t="inlineStr">
        <is>
          <t>Coreshell</t>
        </is>
      </c>
      <c r="B38" s="27" t="inlineStr">
        <is>
          <t>Directory shows 1-10 employees, below the 20-person floor even for a near-miss.</t>
        </is>
      </c>
    </row>
    <row r="39">
      <c r="A39" s="51" t="inlineStr">
        <is>
          <t>Citrine Informatics</t>
        </is>
      </c>
      <c r="B39" s="27" t="inlineStr">
        <is>
          <t>Has a VP of Worldwide Sales (Rich Campbell, on theorg.com).</t>
        </is>
      </c>
    </row>
    <row r="40">
      <c r="A40" s="51" t="inlineStr">
        <is>
          <t>Uncountable</t>
        </is>
      </c>
      <c r="B40" s="27" t="inlineStr">
        <is>
          <t>Directory lists a VP Sales and a VP Sales EMEA. About 147 employees.</t>
        </is>
      </c>
    </row>
    <row r="41">
      <c r="A41" s="51" t="inlineStr">
        <is>
          <t>Modumetal</t>
        </is>
      </c>
      <c r="B41" s="27" t="inlineStr">
        <is>
          <t>About 25 employees, down from a much larger headcount, so it fails the not-shrinking rule. It also has a Business Development Manager.</t>
        </is>
      </c>
    </row>
    <row r="42">
      <c r="A42" s="51" t="inlineStr">
        <is>
          <t>actnano</t>
        </is>
      </c>
      <c r="B42" s="27" t="inlineStr">
        <is>
          <t>Has a Global VP Sales (Jeremy Garbacik), a Head of Business Development Europe and a Sales &amp; BD Manager.</t>
        </is>
      </c>
    </row>
    <row r="43">
      <c r="A43" s="51" t="inlineStr">
        <is>
          <t>Xtalic</t>
        </is>
      </c>
      <c r="B43" s="27" t="inlineStr">
        <is>
          <t>Has a VP Business Development (John Kinne). Also only 36 employees.</t>
        </is>
      </c>
    </row>
    <row r="44">
      <c r="A44" s="51" t="inlineStr">
        <is>
          <t>MELD Manufacturing</t>
        </is>
      </c>
      <c r="B44" s="27" t="inlineStr">
        <is>
          <t>Directory lists VPs of Sales (Louis and Jay Schlegel).</t>
        </is>
      </c>
    </row>
    <row r="45">
      <c r="A45" s="51" t="inlineStr">
        <is>
          <t>LiCAP Technologies</t>
        </is>
      </c>
      <c r="B45" s="27" t="inlineStr">
        <is>
          <t>Has a VP of Sales (Marty Mills, on theorg.com) and a Sales Director.</t>
        </is>
      </c>
    </row>
    <row r="46">
      <c r="A46" s="51" t="inlineStr">
        <is>
          <t>Wildcat Discovery Technologies</t>
        </is>
      </c>
      <c r="B46" s="27" t="inlineStr">
        <is>
          <t>Has an SVP of Strategy &amp; Corporate Development (Peter Coats). It is also pivoting to making cathode material itself rather than selling technology to manufacturers.</t>
        </is>
      </c>
    </row>
    <row r="47">
      <c r="A47" s="51" t="inlineStr">
        <is>
          <t>VRC Metal Systems</t>
        </is>
      </c>
      <c r="B47" s="27" t="inlineStr">
        <is>
          <t>Has a Global Business Development Manager, and a LinkedIn profile for a VP Business Development (Todd Miller) came up in the VRC search. The business is mainly aerospace and defense MRO cold spray.</t>
        </is>
      </c>
    </row>
    <row r="48">
      <c r="A48" s="51" t="inlineStr">
        <is>
          <t>InfinitForm</t>
        </is>
      </c>
      <c r="B48" s="27" t="inlineStr">
        <is>
          <t>Directory shows 1-10 employees, which is too small. It is already hiring its first AE, and a co-founder was formerly a strategic partnerships lead.</t>
        </is>
      </c>
    </row>
    <row r="49">
      <c r="A49" s="51" t="inlineStr">
        <is>
          <t>Nox Metals</t>
        </is>
      </c>
      <c r="B49" s="27" t="inlineStr">
        <is>
          <t>Has a Chief Revenue Officer (Kelly Gibb). Also only 1-10 employees.</t>
        </is>
      </c>
    </row>
    <row r="50">
      <c r="A50" s="51" t="inlineStr">
        <is>
          <t>Aionics</t>
        </is>
      </c>
      <c r="B50" s="27" t="inlineStr">
        <is>
          <t>About 12 employees, too small even for a near-miss. It is an AI materials-design company.</t>
        </is>
      </c>
    </row>
    <row r="51">
      <c r="A51" s="51" t="inlineStr">
        <is>
          <t>Phase3D</t>
        </is>
      </c>
      <c r="B51" s="27" t="inlineStr">
        <is>
          <t>Directory shows 2-10 employees, which is too small.</t>
        </is>
      </c>
    </row>
    <row r="52">
      <c r="A52" s="51" t="inlineStr">
        <is>
          <t>Electroninks</t>
        </is>
      </c>
      <c r="B52" s="27" t="inlineStr">
        <is>
          <t>Has a Head of Sales &amp; Business Development (Takashi Mochizuki) and a co-founder President.</t>
        </is>
      </c>
    </row>
    <row r="53">
      <c r="A53" s="51" t="inlineStr">
        <is>
          <t>3DEO</t>
        </is>
      </c>
      <c r="B53" s="27" t="inlineStr">
        <is>
          <t>Has a Head of Sales and Business Development (Steven Rizzo) and several Business Development Reps.</t>
        </is>
      </c>
    </row>
    <row r="54">
      <c r="A54" s="51" t="inlineStr">
        <is>
          <t>Boston Materials</t>
        </is>
      </c>
      <c r="B54" s="27" t="inlineStr">
        <is>
          <t>About 21 employees. It has a Director, Global Accounts and is recruiting a Director of Business Development and a Sales Manager. It also sells materials rather than process technology.</t>
        </is>
      </c>
    </row>
    <row r="55">
      <c r="A55" s="51" t="inlineStr">
        <is>
          <t>OneD Battery Sciences</t>
        </is>
      </c>
      <c r="B55" s="27" t="inlineStr">
        <is>
          <t>About 40 employees and probably shrinking after it paused its Moses Lake plant plans. It previously had a Director of Sales &amp; BD, and its current commercial leadership could not be verified.</t>
        </is>
      </c>
    </row>
    <row r="56">
      <c r="A56" s="51" t="inlineStr">
        <is>
          <t>Kelvin (kelvin.ai)</t>
        </is>
      </c>
      <c r="B56" s="27" t="inlineStr">
        <is>
          <t>Has a Chief Business Development &amp; Strategy Officer (Sheena Chandra), which counts as a commercial C-level. Its customers are also mostly energy, oil and gas, which leans toward a sector auto-fail.</t>
        </is>
      </c>
    </row>
    <row r="57">
      <c r="A57" s="51" t="inlineStr">
        <is>
          <t>ProcessMiner</t>
        </is>
      </c>
      <c r="B57" s="27" t="inlineStr">
        <is>
          <t>LinkedIn shows Rob Berman as VP of Sales (Atlanta). The company is also only about 23 employees.</t>
        </is>
      </c>
    </row>
    <row r="58">
      <c r="A58" s="51" t="inlineStr">
        <is>
          <t>Novity</t>
        </is>
      </c>
      <c r="B58" s="27" t="inlineStr">
        <is>
          <t>theorg lists a Business Development team (Tim Curley, BD/partnerships) and a director who leads sales. Only 11-50 employees.</t>
        </is>
      </c>
    </row>
    <row r="59">
      <c r="A59" s="51" t="inlineStr">
        <is>
          <t>Arundo Analytics</t>
        </is>
      </c>
      <c r="B59" s="27" t="inlineStr">
        <is>
          <t>theorg lists a Director of Sales (David Rogers) and a GM/VP Americas (Nick Garibay). It is mostly oil and gas, with HQ split between Oslo and Houston.</t>
        </is>
      </c>
    </row>
    <row r="60">
      <c r="A60" s="51" t="inlineStr">
        <is>
          <t>TwinThread</t>
        </is>
      </c>
      <c r="B60" s="27" t="inlineStr">
        <is>
          <t>Acquired by AVEVA in May 2026. Directories also list a VP Sales (Dave Westrom) and a CRO.</t>
        </is>
      </c>
    </row>
    <row r="61">
      <c r="A61" s="51" t="inlineStr">
        <is>
          <t>Plutoshift AI</t>
        </is>
      </c>
      <c r="B61" s="27" t="inlineStr">
        <is>
          <t>theorg lists a Chief Revenue Officer (Sean Cardenas) and a Director of Customer Engagement who runs a team.</t>
        </is>
      </c>
    </row>
    <row r="62">
      <c r="A62" s="51" t="inlineStr">
        <is>
          <t>CVector</t>
        </is>
      </c>
      <c r="B62" s="27" t="inlineStr">
        <is>
          <t>Only about 12 employees (TechCrunch, Jan 2026), too small even for the near-miss list. Its customers include gas utilities.</t>
        </is>
      </c>
    </row>
    <row r="63">
      <c r="A63" s="51" t="inlineStr">
        <is>
          <t>Ingenero</t>
        </is>
      </c>
      <c r="B63" s="27" t="inlineStr">
        <is>
          <t>500-1,000 employees, an engineering services firm, with a VP Marketing and a business-line director.</t>
        </is>
      </c>
    </row>
    <row r="64">
      <c r="A64" s="51" t="inlineStr">
        <is>
          <t>Aizon</t>
        </is>
      </c>
      <c r="B64" s="27" t="inlineStr">
        <is>
          <t>Has a Chief Commercial Officer (Geri Studebaker), a VP of Sales and a VP of Technical Sales and Partnerships. About 155 employees.</t>
        </is>
      </c>
    </row>
    <row r="65">
      <c r="A65" s="51" t="inlineStr">
        <is>
          <t>Fuller Technologies</t>
        </is>
      </c>
      <c r="B65" s="27" t="inlineStr">
        <is>
          <t>Large company (about 800-2,000 employees, PE-owned) with a VP and Head of Sales (Enrico Lanzini).</t>
        </is>
      </c>
    </row>
    <row r="66">
      <c r="A66" s="51" t="inlineStr">
        <is>
          <t>PiControl Solutions</t>
        </is>
      </c>
      <c r="B66" s="27" t="inlineStr">
        <is>
          <t>An old (1992) services and software firm with a Sales Manager and about 4 sales staff, under 50 employees.</t>
        </is>
      </c>
    </row>
    <row r="67">
      <c r="A67" s="51" t="inlineStr">
        <is>
          <t>Gigaton</t>
        </is>
      </c>
      <c r="B67" s="27" t="inlineStr">
        <is>
          <t>HQ is in the UK.</t>
        </is>
      </c>
    </row>
    <row r="68">
      <c r="A68" s="51" t="inlineStr">
        <is>
          <t>Aimirim</t>
        </is>
      </c>
      <c r="B68" s="27" t="inlineStr">
        <is>
          <t>HQ is not in the US (Brazil).</t>
        </is>
      </c>
    </row>
    <row r="69">
      <c r="A69" s="51" t="inlineStr">
        <is>
          <t>Raven / Neuron Industries / Praxis AI / Poka Labs (YC)</t>
        </is>
      </c>
      <c r="B69" s="27" t="inlineStr">
        <is>
          <t>Seed-stage YC companies, well under 20 employees. Poka Labs makes sales tools, not plant AI.</t>
        </is>
      </c>
    </row>
    <row r="70">
      <c r="A70" s="51" t="inlineStr">
        <is>
          <t>Composabl</t>
        </is>
      </c>
      <c r="B70" s="27" t="inlineStr">
        <is>
          <t>Could not verify: the search returned nothing about the company, so it was not passed. It is believed to have under 30 employees.</t>
        </is>
      </c>
    </row>
    <row r="71">
      <c r="A71" s="51" t="inlineStr">
        <is>
          <t>Vizcom</t>
        </is>
      </c>
      <c r="B71" s="27" t="inlineStr">
        <is>
          <t>Has a Sales Director (Steve Caditz, LinkedIn) and a reported Head of Sales. It is hiring Senior Enterprise AEs and SDRs, so a sales org is being built.</t>
        </is>
      </c>
    </row>
    <row r="72">
      <c r="A72" s="51" t="inlineStr">
        <is>
          <t>Flexcompute</t>
        </is>
      </c>
      <c r="B72" s="27" t="inlineStr">
        <is>
          <t>Has a Sales Director (Gowtham Krishna), plus AEs and BDRs, so the sales org is already built.</t>
        </is>
      </c>
    </row>
    <row r="73">
      <c r="A73" s="51" t="inlineStr">
        <is>
          <t>Luminary Cloud</t>
        </is>
      </c>
      <c r="B73" s="27" t="inlineStr">
        <is>
          <t>A Head of Sales (Ethan Carr) is reported in RocketReach/ZoomInfo results.</t>
        </is>
      </c>
    </row>
    <row r="74">
      <c r="A74" s="51" t="inlineStr">
        <is>
          <t>Epsilon3</t>
        </is>
      </c>
      <c r="B74" s="27" t="inlineStr">
        <is>
          <t>Directories list a Chief Revenue Officer (Chris Halvorsen), a Head of RevOps and 3+ AEs. It is also only 11-50 employees and aerospace-ops focused.</t>
        </is>
      </c>
    </row>
    <row r="75">
      <c r="A75" s="51" t="inlineStr">
        <is>
          <t>Dirac, Inc. (BuildOS)</t>
        </is>
      </c>
      <c r="B75" s="27" t="inlineStr">
        <is>
          <t>It is scaling a GTM team with multiple AEs, a Senior AE, sales engineers and deployment strategists. It is also around 30 employees.</t>
        </is>
      </c>
    </row>
    <row r="76">
      <c r="A76" s="51" t="inlineStr">
        <is>
          <t>AllSpice</t>
        </is>
      </c>
      <c r="B76" s="27" t="inlineStr">
        <is>
          <t>Co-founder Peter Sullivan holds the title Co-Founder &amp; Head of Growth, and it has inside sales and AE roles. It is under 50 employees.</t>
        </is>
      </c>
    </row>
    <row r="77">
      <c r="A77" s="51" t="inlineStr">
        <is>
          <t>Toolpath (Toolpath Labs, Atlanta)</t>
        </is>
      </c>
      <c r="B77" s="27" t="inlineStr">
        <is>
          <t>Directories list a Sales Manager, a Global Account Executive and several AEs (Tony Golden, Ross Kramer, David Asbrock), so it already has 3+ AEs. It is also 11-50 employees.</t>
        </is>
      </c>
    </row>
    <row r="78">
      <c r="A78" s="51" t="inlineStr">
        <is>
          <t>Zoo (zoo.dev / KittyCAD)</t>
        </is>
      </c>
      <c r="B78" s="27" t="inlineStr">
        <is>
          <t>A RocketReach management page lists a VP of Sales (Ian Smith). This is not fully verified, but it is too risky to pass. LinkedIn also shows only 11-50 employees.</t>
        </is>
      </c>
    </row>
    <row r="79">
      <c r="A79" s="51" t="inlineStr">
        <is>
          <t>Physna / Thangs</t>
        </is>
      </c>
      <c r="B79" s="27" t="inlineStr">
        <is>
          <t>It has several account executives (Kevin Hoffman, Nick Thomas) and has largely moved to a consumer 3D-model marketplace (Thangs).</t>
        </is>
      </c>
    </row>
    <row r="80">
      <c r="A80" s="51" t="inlineStr">
        <is>
          <t>JITX</t>
        </is>
      </c>
      <c r="B80" s="27" t="inlineStr">
        <is>
          <t>Too small: about 7-16 employees, mostly engineers. Otherwise a strong profile: CEO-led sales and hiring Founding Sales Reps in 2026. Worth revisiting once it reaches 20+.</t>
        </is>
      </c>
    </row>
    <row r="81">
      <c r="A81" s="51" t="inlineStr">
        <is>
          <t>Ulendo</t>
        </is>
      </c>
      <c r="B81" s="27" t="inlineStr">
        <is>
          <t>Too small: about 7 employees per ZoomInfo/LeadIQ. Sales is founder-led by the CEO, who builds the process.</t>
        </is>
      </c>
    </row>
    <row r="82">
      <c r="A82" s="51" t="inlineStr">
        <is>
          <t>Limitless Labs (LimitlessCNC)</t>
        </is>
      </c>
      <c r="B82" s="27" t="inlineStr">
        <is>
          <t>Appears to be Israeli-founded and headquartered (Grove Ventures and Meron backing). No evidence of a US HQ.</t>
        </is>
      </c>
    </row>
    <row r="83">
      <c r="A83" s="51" t="inlineStr">
        <is>
          <t>Clera (simulation agent)</t>
        </is>
      </c>
      <c r="B83" s="27" t="inlineStr">
        <is>
          <t>An early-stage SF startup hiring a Founding AE. Headcount looks far below 20 and could not be verified.</t>
        </is>
      </c>
    </row>
    <row r="84">
      <c r="A84" s="51" t="inlineStr">
        <is>
          <t>Unravel 3D</t>
        </is>
      </c>
      <c r="B84" s="27" t="inlineStr">
        <is>
          <t>Hiring a Founding Sales Leader, but it appears to be India-based and very early stage. No US HQ evidence.</t>
        </is>
      </c>
    </row>
    <row r="85">
      <c r="A85" s="51" t="inlineStr">
        <is>
          <t>DraftAid / REV1 / Fabricate / Jeevy (YC)</t>
        </is>
      </c>
      <c r="B85" s="27" t="inlineStr">
        <is>
          <t>Too small (2-14 employees). DraftAid is HQ'd in Toronto.</t>
        </is>
      </c>
    </row>
    <row r="86">
      <c r="A86" s="51" t="inlineStr">
        <is>
          <t>Flow Engineering</t>
        </is>
      </c>
      <c r="B86" s="27" t="inlineStr">
        <is>
          <t>HQ in London, UK.</t>
        </is>
      </c>
    </row>
    <row r="87">
      <c r="A87" s="51" t="inlineStr">
        <is>
          <t>Collimator</t>
        </is>
      </c>
      <c r="B87" s="27" t="inlineStr">
        <is>
          <t>Searches returned no usable data on the company, so it is unverified and not passed.</t>
        </is>
      </c>
    </row>
    <row r="88">
      <c r="A88" s="51" t="inlineStr">
        <is>
          <t>Formlogic (fka Subscale)</t>
        </is>
      </c>
      <c r="B88" s="27" t="inlineStr">
        <is>
          <t>Pittsburgh software-defined precision machining manufacturer (~37 employees per directory, LinkedIn shows 51-200). Fails rule 4: contactout lists Jeffrey Wisenbaugh and Krishna Rao, both Director of Sales at Formlogic.</t>
        </is>
      </c>
    </row>
    <row r="89">
      <c r="A89" s="51" t="inlineStr">
        <is>
          <t>GridRaster Inc.</t>
        </is>
      </c>
      <c r="B89" s="27" t="inlineStr">
        <is>
          <t>Mountain View industrial XR. About 34 employees, and the company is more horizontal enterprise AR/VR than manufacturing tech. Fails rule 4: directories list a Head of Enterprise Sales &amp; Strategy and Jacob Hoppen as Director of Sales.</t>
        </is>
      </c>
    </row>
    <row r="90">
      <c r="A90" s="51" t="inlineStr">
        <is>
          <t>Harmony AI (tryharmony.ai)</t>
        </is>
      </c>
      <c r="B90" s="27" t="inlineStr">
        <is>
          <t>Chattanooga, TN, AI layer for factories, hiring a Founding AE, so sales is founder-led. But rocketreach shows only about 13 employees, below even the 20-employee near-miss floor.</t>
        </is>
      </c>
    </row>
    <row r="91">
      <c r="A91" s="51" t="inlineStr">
        <is>
          <t>Laplace Robotics / Maneva</t>
        </is>
      </c>
      <c r="B91" s="27" t="inlineStr">
        <is>
          <t>Already has a built sales org: open postings for Head of Sales, SDR, AEs and field sales reps in Atlanta, Philadelphia and Toronto (GTA). There are signs it is Canada-linked.</t>
        </is>
      </c>
    </row>
    <row r="92">
      <c r="A92" s="51" t="inlineStr">
        <is>
          <t>Cohesive Robotics</t>
        </is>
      </c>
      <c r="B92" s="27" t="inlineStr">
        <is>
          <t>Brooklyn, NY welding and finishing robots, hiring a Founding AE. Only about 5 employees (1-10 per directories), far too small.</t>
        </is>
      </c>
    </row>
    <row r="93">
      <c r="A93" s="51" t="inlineStr">
        <is>
          <t>Prime Robotics</t>
        </is>
      </c>
      <c r="B93" s="27" t="inlineStr">
        <is>
          <t>Auto-fail sector: warehouse automation.</t>
        </is>
      </c>
    </row>
    <row r="94">
      <c r="A94" s="51" t="inlineStr">
        <is>
          <t>Dyna Robotics</t>
        </is>
      </c>
      <c r="B94" s="27" t="inlineStr">
        <is>
          <t>Redwood City. Hired a Founding Head of Sales in 2026, and its general-purpose robot foundation models for commercial tasks (e.g., laundry and food service) fall under horizontal AI rather than manufacturing.</t>
        </is>
      </c>
    </row>
    <row r="95">
      <c r="A95" s="51" t="inlineStr">
        <is>
          <t>Roboto AI</t>
        </is>
      </c>
      <c r="B95" s="27" t="inlineStr">
        <is>
          <t>Seattle, hiring a Founding AE, but it is an analytics and data platform for robotics teams in general (horizontal, not manufacturing). It is a very small seed-stage startup.</t>
        </is>
      </c>
    </row>
    <row r="96">
      <c r="A96" s="51" t="inlineStr">
        <is>
          <t>ChipStack</t>
        </is>
      </c>
      <c r="B96" s="27" t="inlineStr">
        <is>
          <t>Hiring a Founding Head of Sales, but it does AI chip-design verification (EDA), which is not semiconductor manufacturing tech. Reportedly acquired by Cadence.</t>
        </is>
      </c>
    </row>
    <row r="97">
      <c r="A97" s="51" t="inlineStr">
        <is>
          <t>Bucket Robotics</t>
        </is>
      </c>
      <c r="B97" s="27" t="inlineStr">
        <is>
          <t>YC S24 manufacturing vision startup, far below 20 employees.</t>
        </is>
      </c>
    </row>
    <row r="98">
      <c r="A98" s="51" t="inlineStr">
        <is>
          <t>Chemix</t>
        </is>
      </c>
      <c r="B98" s="27" t="inlineStr">
        <is>
          <t>Sunnyvale AI-designed EV battery cells. It develops battery products rather than manufacturing tech, and its size is likely below 50. Not checked further.</t>
        </is>
      </c>
    </row>
    <row r="99">
      <c r="A99" s="51" t="inlineStr">
        <is>
          <t>Fexel (Forum Ventures)</t>
        </is>
      </c>
      <c r="B99" s="27" t="inlineStr">
        <is>
          <t>Accelerator-stage industrial automation startup whose Head of Sales post is for a fractional role. Tiny, so it fails the size rule.</t>
        </is>
      </c>
    </row>
    <row r="100">
      <c r="A100" s="51" t="inlineStr">
        <is>
          <t>FactoryFix</t>
        </is>
      </c>
      <c r="B100" s="27" t="inlineStr">
        <is>
          <t>Recruiting/staffing platform for manufacturing trades, which is HR tech, not manufacturing tech. It also already has AEs.</t>
        </is>
      </c>
    </row>
    <row r="101">
      <c r="A101" s="51" t="inlineStr">
        <is>
          <t>LMI Technologies</t>
        </is>
      </c>
      <c r="B101" s="27" t="inlineStr">
        <is>
          <t>Large established 3D inspection company (TKH Group) hiring a VP Sales, well above 250 employees, with a built sales org.</t>
        </is>
      </c>
    </row>
    <row r="102">
      <c r="A102" s="51" t="inlineStr">
        <is>
          <t>Ultra Clean Technology</t>
        </is>
      </c>
      <c r="B102" s="27" t="inlineStr">
        <is>
          <t>Large public semiconductor equipment supplier, far above 250 employees.</t>
        </is>
      </c>
    </row>
    <row r="103">
      <c r="A103" s="51" t="inlineStr">
        <is>
          <t>Slip Robotics</t>
        </is>
      </c>
      <c r="B103" s="27" t="inlineStr">
        <is>
          <t>Already on the screened list. The job post also says the Head of Sales reports to a CRO.</t>
        </is>
      </c>
    </row>
    <row r="104">
      <c r="A104" s="51" t="inlineStr">
        <is>
          <t>Mindtrace</t>
        </is>
      </c>
      <c r="B104" s="27" t="inlineStr">
        <is>
          <t>HQ is Manchester, UK, with a Detroit office. About 25 employees. Fails the US HQ rule.</t>
        </is>
      </c>
    </row>
    <row r="105">
      <c r="A105" s="51" t="inlineStr">
        <is>
          <t>Zaimler</t>
        </is>
      </c>
      <c r="B105" s="27" t="inlineStr">
        <is>
          <t>HQ is San Mateo, CA. It is a horizontal semantic data layer, not industrial-specific. About 12 employees. Fails on sector and size.</t>
        </is>
      </c>
    </row>
    <row r="106">
      <c r="A106" s="51" t="inlineStr">
        <is>
          <t>Laplace Robotics</t>
        </is>
      </c>
      <c r="B106" s="27" t="inlineStr">
        <is>
          <t>Appears to be Canadian (madeinca.ca listing) and small. No US HQ or headcount could be confirmed, so it is not a safe pass.</t>
        </is>
      </c>
    </row>
    <row r="107">
      <c r="A107" s="51" t="inlineStr">
        <is>
          <t>Maneva</t>
        </is>
      </c>
      <c r="B107" s="27" t="inlineStr">
        <is>
          <t>Offices in Palo Alto and North York, Ontario. RocketReach lists April Rajchgot as Director of Enterprise Sales &amp; BD and Kevin Sun as Head of Partnerships. Fails rule 4.</t>
        </is>
      </c>
    </row>
    <row r="108">
      <c r="A108" s="51" t="inlineStr">
        <is>
          <t>Hellbender</t>
        </is>
      </c>
      <c r="B108" s="27" t="inlineStr">
        <is>
          <t>Pittsburgh, about 94 employees. Directories list Ty Fraley (Head of BD), Brett Phillips (Chief Business Development Officer) and David Tusick (Chief Growth Officer). Its products also target retail and fleet use. Fails rule 4.</t>
        </is>
      </c>
    </row>
    <row r="109">
      <c r="A109" s="51" t="inlineStr">
        <is>
          <t>Shelfmark</t>
        </is>
      </c>
      <c r="B109" s="27" t="inlineStr">
        <is>
          <t>Pittsburgh, about 16 employees. Ron Gabriel is Head of Business Development. Too small for a near-miss and fails rule 4.</t>
        </is>
      </c>
    </row>
    <row r="110">
      <c r="A110" s="51" t="inlineStr">
        <is>
          <t>Cerrion</t>
        </is>
      </c>
      <c r="B110" s="27" t="inlineStr">
        <is>
          <t>HQ is Zurich, Switzerland (11-50 employees). It is hiring a founding US AE but is not US-headquartered.</t>
        </is>
      </c>
    </row>
    <row r="111">
      <c r="A111" s="51" t="inlineStr">
        <is>
          <t>OpenBOM</t>
        </is>
      </c>
      <c r="B111" s="27" t="inlineStr">
        <is>
          <t>About 14 employees. RocketReach lists Mark Gartner as CRO plus an AE, a Sales Ops lead and an SDR. Fails rules 3, 4 and 5.</t>
        </is>
      </c>
    </row>
    <row r="112">
      <c r="A112" s="51" t="inlineStr">
        <is>
          <t>1872</t>
        </is>
      </c>
      <c r="B112" s="27" t="inlineStr">
        <is>
          <t>Cincinnati, AI-native steel fabrication. Only 9 employees, and it serves construction, energy and utility customers. Fails on size and sector.</t>
        </is>
      </c>
    </row>
    <row r="113">
      <c r="A113" s="51" t="inlineStr">
        <is>
          <t>Ohm (YC W23)</t>
        </is>
      </c>
      <c r="B113" s="27" t="inlineStr">
        <is>
          <t>San Francisco, 7 employees. Too small.</t>
        </is>
      </c>
    </row>
    <row r="114">
      <c r="A114" s="51" t="inlineStr">
        <is>
          <t>Xact Metal</t>
        </is>
      </c>
      <c r="B114" s="27" t="inlineStr">
        <is>
          <t>Has a VP Global Sales (Mark Barfoot), a VP NA Sales &amp; Partnerships and several Senior Sales Managers. Fails rules 4 and 5.</t>
        </is>
      </c>
    </row>
    <row r="115">
      <c r="A115" s="51" t="inlineStr">
        <is>
          <t>Haven Safety AI</t>
        </is>
      </c>
      <c r="B115" s="27" t="inlineStr">
        <is>
          <t>San Francisco, a small AI Fund/AES spinout. Horizontal EHS software for energy, construction and logistics. Fails on sector and size.</t>
        </is>
      </c>
    </row>
    <row r="116">
      <c r="A116" s="51" t="inlineStr">
        <is>
          <t>CADDi</t>
        </is>
      </c>
      <c r="B116" s="27" t="inlineStr">
        <is>
          <t>Chicago US arm, about 367 employees, with multiple Mid-Market and Enterprise AE openings. Fails on size and sales org.</t>
        </is>
      </c>
    </row>
    <row r="117">
      <c r="A117" s="51" t="inlineStr">
        <is>
          <t>Fexel</t>
        </is>
      </c>
      <c r="B117" s="27" t="inlineStr">
        <is>
          <t>Forum Ventures studio company hiring a fractional Head of Sales. Very early stage and almost certainly under 20 employees. Not verified further.</t>
        </is>
      </c>
    </row>
    <row r="118">
      <c r="A118" s="51" t="inlineStr">
        <is>
          <t>Foundation EGI</t>
        </is>
      </c>
      <c r="B118" s="27" t="inlineStr">
        <is>
          <t>Already screened, listed as Foundation.</t>
        </is>
      </c>
    </row>
    <row r="119">
      <c r="A119" s="51" t="inlineStr">
        <is>
          <t>Saphira AI / Paragon AI / Metaprise</t>
        </is>
      </c>
      <c r="B119" s="27" t="inlineStr">
        <is>
          <t>YC/seed-stage companies with founding AE postings. Likely under 20 employees, and Metaprise and Paragon are not clearly industrial. Not verified because of the search budget.</t>
        </is>
      </c>
    </row>
    <row r="120">
      <c r="A120" s="51" t="inlineStr">
        <is>
          <t>ECM PCB Stator Tech</t>
        </is>
      </c>
      <c r="B120" s="27" t="inlineStr">
        <is>
          <t>Has an EVP of Global Sales and Marketing (Michael Fischer). Also only 11-50 employees.</t>
        </is>
      </c>
    </row>
    <row r="121">
      <c r="A121" s="51" t="inlineStr">
        <is>
          <t>SiLC Technologies</t>
        </is>
      </c>
      <c r="B121" s="27" t="inlineStr">
        <is>
          <t>Has a VP of Business Development and Marketing (Ralf Muenster) and a VP of Market Development (Arlon Martin).</t>
        </is>
      </c>
    </row>
    <row r="122">
      <c r="A122" s="51" t="inlineStr">
        <is>
          <t>Voyant Photonics</t>
        </is>
      </c>
      <c r="B122" s="27" t="inlineStr">
        <is>
          <t>Has a Senior Director of Sales &amp; BD (Stephen Miller) and a Sales Director Europe.</t>
        </is>
      </c>
    </row>
    <row r="123">
      <c r="A123" s="51" t="inlineStr">
        <is>
          <t>Bedrock Automation</t>
        </is>
      </c>
      <c r="B123" s="27" t="inlineStr">
        <is>
          <t>Shut down in 2022 after the ADI/Maxim merger.</t>
        </is>
      </c>
    </row>
    <row r="124">
      <c r="A124" s="51" t="inlineStr">
        <is>
          <t>Cirrus Link Solutions</t>
        </is>
      </c>
      <c r="B124" s="27" t="inlineStr">
        <is>
          <t>Only 2-10 employees on LinkedIn, too small even for a near-miss.</t>
        </is>
      </c>
    </row>
    <row r="125">
      <c r="A125" s="51" t="inlineStr">
        <is>
          <t>Linear Labs</t>
        </is>
      </c>
      <c r="B125" s="27" t="inlineStr">
        <is>
          <t>No sales leader found (CEO Brad Hunstable, CTO Fred Hunstable, VP Engineering Erik Hatch). But headcount is unverified (11-50, about $1M revenue, possibly under 20), and the motors are aimed mainly at EVs/HVAC, so the sector is borderline. Not confident enough to list.</t>
        </is>
      </c>
    </row>
    <row r="126">
      <c r="A126" s="51" t="inlineStr">
        <is>
          <t>Adaptive Machines</t>
        </is>
      </c>
      <c r="B126" s="27" t="inlineStr">
        <is>
          <t>Could not confirm size or leadership in directories (founder possibly David Braun). Looks very early stage.</t>
        </is>
      </c>
    </row>
    <row r="127">
      <c r="A127" s="51" t="inlineStr">
        <is>
          <t>Automat</t>
        </is>
      </c>
      <c r="B127" s="27" t="inlineStr">
        <is>
          <t>Hiring a Head of Sales, but HQ, sector and size were not checked within the search budget. Not verified.</t>
        </is>
      </c>
    </row>
    <row r="128">
      <c r="A128" s="51" t="inlineStr">
        <is>
          <t>Ohm / Saphira AI / Cerrion / Pendulum Robotics (YC)</t>
        </is>
      </c>
      <c r="B128" s="27" t="inlineStr">
        <is>
          <t>Seen in founding-AE job searches. YC hardware startups are likely under 20 employees, and Cerrion is Swiss. Not pursued.</t>
        </is>
      </c>
    </row>
    <row r="129">
      <c r="A129" s="51" t="inlineStr">
        <is>
          <t>MarqMetrix</t>
        </is>
      </c>
      <c r="B129" s="27" t="inlineStr">
        <is>
          <t>Now part of Thermo Fisher Scientific (LinkedIn company page 'MarqMetrix, part of Thermo Fisher Scientific'). Not independent, and it had a Sales Director.</t>
        </is>
      </c>
    </row>
    <row r="130">
      <c r="A130" s="51" t="inlineStr">
        <is>
          <t>Creative Electron</t>
        </is>
      </c>
      <c r="B130" s="27" t="inlineStr">
        <is>
          <t>Has a built sales org: Troy Johnson, Sales Manager North America; Giancarlo de la Garza, Business Unit Director over sales; plus technical sales staff (Carlos Valenzuela, Alex Monge).</t>
        </is>
      </c>
    </row>
    <row r="131">
      <c r="A131" s="51" t="inlineStr">
        <is>
          <t>Revel (Revel Software Corp, LA)</t>
        </is>
      </c>
      <c r="B131" s="27" t="inlineStr">
        <is>
          <t>11-50 employees and a $1B+ valuation after a $150M Series B (Feb 2026). Its job post describes an existing 'enterprise sales organization'. Customers are mostly aerospace, defense, space and nuclear, not manufacturers. Not a fractional-CRO buyer.</t>
        </is>
      </c>
    </row>
    <row r="132">
      <c r="A132" s="51" t="inlineStr">
        <is>
          <t>HyperSpectral Corp (Alexandria, VA)</t>
        </is>
      </c>
      <c r="B132" s="27" t="inlineStr">
        <is>
          <t>Sector does not fit: AI spectral particle detection is not clearly sold to manufacturers. Small Series A company. Not pursued further.</t>
        </is>
      </c>
    </row>
    <row r="133">
      <c r="A133" s="51" t="inlineStr">
        <is>
          <t>Fractilia (Austin, TX)</t>
        </is>
      </c>
      <c r="B133" s="27" t="inlineStr">
        <is>
          <t>Fits the sector (semiconductor stochastics metrology software) and shows no VP Sales, but headcount looks well under 20 and I could not confirm it. Sales appears to run through contracted 'Business Consultants' (Terry Skales, Mike Kirk). Too small, unverified.</t>
        </is>
      </c>
    </row>
    <row r="134">
      <c r="A134" s="51" t="inlineStr">
        <is>
          <t>Verisurf Software</t>
        </is>
      </c>
      <c r="B134" s="27" t="inlineStr">
        <is>
          <t>Pat Bass is Director of Sales, David Olson is Director of Sales and Marketing, plus a Sales Manager and a Global BD Manager. The sales department has about 15 people.</t>
        </is>
      </c>
    </row>
    <row r="135">
      <c r="A135" s="51" t="inlineStr">
        <is>
          <t>Applied Vision Corporation (Antares Vision Group - Rigid Containers)</t>
        </is>
      </c>
      <c r="B135" s="27" t="inlineStr">
        <is>
          <t>Owned by Antares Vision. Jeff Hartung is VP Sales, Darren Hench is VP Key Accounts, plus regional sales directors and managers.</t>
        </is>
      </c>
    </row>
    <row r="136">
      <c r="A136" s="51" t="inlineStr">
        <is>
          <t>Xallent (Ithaca, NY)</t>
        </is>
      </c>
      <c r="B136" s="27" t="inlineStr">
        <is>
          <t>Too small: about 463 LinkedIn followers, well under 20 employees. No size-only near-miss.</t>
        </is>
      </c>
    </row>
    <row r="137">
      <c r="A137" s="51" t="inlineStr">
        <is>
          <t>Machine Vision Products Inc (Carlsbad, CA)</t>
        </is>
      </c>
      <c r="B137" s="27" t="inlineStr">
        <is>
          <t>Paul Groome is Director of Sales and Support, Danny Tan is Sales Manager SEA, and Antoine Ayoub is Enterprise Account Manager.</t>
        </is>
      </c>
    </row>
    <row r="138">
      <c r="A138" s="51" t="inlineStr">
        <is>
          <t>Hundred (YC)</t>
        </is>
      </c>
      <c r="B138" s="27" t="inlineStr">
        <is>
          <t>Early-stage YC inspection startup, far below 20 employees.</t>
        </is>
      </c>
    </row>
    <row r="139">
      <c r="A139" s="51" t="inlineStr">
        <is>
          <t>Coherix (Ann Arbor, MI)</t>
        </is>
      </c>
      <c r="B139" s="27" t="inlineStr">
        <is>
          <t>Two VPs of Business Development (Mark McCarthy, Hollis McNully), a Global Director of Sales (David Stott), a Director of New BD and account managers.</t>
        </is>
      </c>
    </row>
    <row r="140">
      <c r="A140" s="51" t="inlineStr">
        <is>
          <t>Erbessd Instruments (Glens Falls, NY)</t>
        </is>
      </c>
      <c r="B140" s="27" t="inlineStr">
        <is>
          <t>The CEO also holds the title EVP Global Sales and Distribution. Regional sales managers (LATAM, distributor), inside sales staff and a sales operations admin.</t>
        </is>
      </c>
    </row>
    <row r="141">
      <c r="A141" s="51" t="inlineStr">
        <is>
          <t>TiHive</t>
        </is>
      </c>
      <c r="B141" s="27" t="inlineStr">
        <is>
          <t>HQ in France (Grenoble), not the US.</t>
        </is>
      </c>
    </row>
    <row r="142">
      <c r="A142" s="51" t="inlineStr">
        <is>
          <t>Intenseye</t>
        </is>
      </c>
      <c r="B142" s="27" t="inlineStr">
        <is>
          <t>Sector is EHS/workplace-safety vision, which is horizontal, and it already has a built sales org.</t>
        </is>
      </c>
    </row>
    <row r="143">
      <c r="A143" s="51" t="inlineStr">
        <is>
          <t>Polaris Automation, Inc. (Columbus, OH; Chordata MES)</t>
        </is>
      </c>
      <c r="B143" s="27" t="inlineStr">
        <is>
          <t>Fails rules 4 and 5. Directory results (RocketReach/ZoomInfo) list several Sales Directors (Randy Mingee, Derek Simonette and others), Senior Account Managers and a Director of Sales Operations. It also mixes product with integrator services. Founded in 1984, 51-200 employees.</t>
        </is>
      </c>
    </row>
    <row r="144">
      <c r="A144" s="51" t="inlineStr">
        <is>
          <t>StartProto (Atlanta, GA)</t>
        </is>
      </c>
      <c r="B144" s="27" t="inlineStr">
        <is>
          <t>Too small. LinkedIn shows 2-10 employees (about 17 visible), below even the near-miss floor. It is hiring a Founding AE, so sales is founder-led.</t>
        </is>
      </c>
    </row>
    <row r="145">
      <c r="A145" s="51" t="inlineStr">
        <is>
          <t>Acerta Analytics</t>
        </is>
      </c>
      <c r="B145" s="27" t="inlineStr">
        <is>
          <t>HQ is Kitchener, Ontario, Canada, with 11-50 employees. A Detroit-based Founding AE job ad does not change where the company is headquartered.</t>
        </is>
      </c>
    </row>
    <row r="146">
      <c r="A146" s="51" t="inlineStr">
        <is>
          <t>Cohesive Robotics (Brooklyn, NY)</t>
        </is>
      </c>
      <c r="B146" s="27" t="inlineStr">
        <is>
          <t>Too small: 2-10 employees on LinkedIn. It is hiring a Founding AE.</t>
        </is>
      </c>
    </row>
    <row r="147">
      <c r="A147" s="51" t="inlineStr">
        <is>
          <t>Datanomix (Nashua, NH)</t>
        </is>
      </c>
      <c r="B147" s="27" t="inlineStr">
        <is>
          <t>Fails rule 5 and the size rule. It has a built sales org: several AEs (Andrew Lusty, Brendan Walsh and others), Senior BD leads and BDRs, with a VP of Customer Success over a sales department of about 14. It has 11-50 employees.</t>
        </is>
      </c>
    </row>
    <row r="148">
      <c r="A148" s="51" t="inlineStr">
        <is>
          <t>PickNik Robotics (Boulder, CO)</t>
        </is>
      </c>
      <c r="B148" s="27" t="inlineStr">
        <is>
          <t>Has a Director of Business Development (Sean Kolk, per LinkedIn) and a CEO with an enterprise sales background. Reportedly acquired by Qualcomm. Its robotics software is horizontal.</t>
        </is>
      </c>
    </row>
    <row r="149">
      <c r="A149" s="51" t="inlineStr">
        <is>
          <t>Loopr AI (Seattle, WA)</t>
        </is>
      </c>
      <c r="B149" s="27" t="inlineStr">
        <is>
          <t>Has a Sales Director (a company post welcomed Monica Lazo as Sales Director). About 20+ employees, so too small anyway.</t>
        </is>
      </c>
    </row>
    <row r="150">
      <c r="A150" s="51" t="inlineStr">
        <is>
          <t>1872 (Cincinnati, OH)</t>
        </is>
      </c>
      <c r="B150" s="27" t="inlineStr">
        <is>
          <t>Seed-stage (raised $15M) autonomous structural-steel fabrication factory, so its customers are in construction (an auto-fail sector). Headcount looks well under 20, mostly fabrication techs.</t>
        </is>
      </c>
    </row>
    <row r="151">
      <c r="A151" s="51" t="inlineStr">
        <is>
          <t>Shelfmark (Pittsburgh, PA)</t>
        </is>
      </c>
      <c r="B151" s="27" t="inlineStr">
        <is>
          <t>Wrong sector: retail shelf-inventory AI (deployed at 7-Eleven). It has 2-10 employees and a Head of Business Development.</t>
        </is>
      </c>
    </row>
    <row r="152">
      <c r="A152" s="51" t="inlineStr">
        <is>
          <t>Fexel (Chicago Heights, IL)</t>
        </is>
      </c>
      <c r="B152" s="27" t="inlineStr">
        <is>
          <t>Not verified because the search budget ran out. It is a very early-stage industrial automation startup posting a fractional Head of Sales and is likely under 20 employees.</t>
        </is>
      </c>
    </row>
    <row r="153">
      <c r="A153" s="51" t="inlineStr">
        <is>
          <t>Midwest Engineered Systems / HS Inc. Automation / Axis Company</t>
        </is>
      </c>
      <c r="B153" s="27" t="inlineStr">
        <is>
          <t>Not checked. These are traditional robotics integrators (custom machine builders) without a scalable product, and they typically have established sales or estimating teams.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2026-10-07T11:20:37Z</dcterms:created>
  <dcterms:modified xmlns:dcterms="http://purl.org/dc/terms/" xmlns:xsi="http://www.w3.org/2001/XMLSchema-instance" xsi:type="dcterms:W3CDTF">2026-10-07T12:55:47Z</dcterms:modified>
  <cp:revision>0</cp:revision>
</cp:coreProperties>
</file>